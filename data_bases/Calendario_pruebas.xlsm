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mericasmining-my.sharepoint.com/personal/00561383_gmexico_com/Documents/Desktop/METALURGIA_PP/PP/SOLICITUDES/data_bases/"/>
    </mc:Choice>
  </mc:AlternateContent>
  <xr:revisionPtr revIDLastSave="303" documentId="8_{65718769-F23D-465E-822A-5A6CD0866750}" xr6:coauthVersionLast="47" xr6:coauthVersionMax="47" xr10:uidLastSave="{87E51FF8-7169-4ED7-A5D4-06AF4A646F9C}"/>
  <bookViews>
    <workbookView xWindow="-120" yWindow="-120" windowWidth="20730" windowHeight="11040" activeTab="1" xr2:uid="{6836B70B-2EB6-4E16-B24D-378CBD10CBED}"/>
  </bookViews>
  <sheets>
    <sheet name="PRUEBAS" sheetId="2" r:id="rId1"/>
    <sheet name="DATA_BASE" sheetId="3" r:id="rId2"/>
  </sheets>
  <externalReferences>
    <externalReference r:id="rId3"/>
  </externalReferences>
  <definedNames>
    <definedName name="_xlnm.Print_Area" localSheetId="0">PRUEBAS!$A$1:$K$152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2" l="1"/>
  <c r="A10" i="3" s="1"/>
  <c r="B14" i="2"/>
  <c r="A13" i="3" s="1"/>
  <c r="C14" i="2"/>
  <c r="B13" i="3" s="1"/>
  <c r="D14" i="2"/>
  <c r="C13" i="3" s="1"/>
  <c r="E14" i="2"/>
  <c r="D13" i="3" s="1"/>
  <c r="F14" i="2"/>
  <c r="E13" i="3" s="1"/>
  <c r="G14" i="2"/>
  <c r="F13" i="3" s="1"/>
  <c r="L14" i="2"/>
  <c r="K13" i="3" s="1"/>
  <c r="B15" i="2"/>
  <c r="A14" i="3" s="1"/>
  <c r="C15" i="2"/>
  <c r="B14" i="3" s="1"/>
  <c r="D15" i="2"/>
  <c r="C14" i="3" s="1"/>
  <c r="E15" i="2"/>
  <c r="D14" i="3" s="1"/>
  <c r="F15" i="2"/>
  <c r="E14" i="3" s="1"/>
  <c r="G15" i="2"/>
  <c r="F14" i="3" s="1"/>
  <c r="L15" i="2"/>
  <c r="K14" i="3" s="1"/>
  <c r="K1" i="3"/>
  <c r="L4" i="2"/>
  <c r="K3" i="3" s="1"/>
  <c r="L5" i="2"/>
  <c r="K4" i="3" s="1"/>
  <c r="L6" i="2"/>
  <c r="K5" i="3" s="1"/>
  <c r="L7" i="2"/>
  <c r="K6" i="3" s="1"/>
  <c r="L8" i="2"/>
  <c r="K7" i="3" s="1"/>
  <c r="L9" i="2"/>
  <c r="K8" i="3" s="1"/>
  <c r="L10" i="2"/>
  <c r="K9" i="3" s="1"/>
  <c r="L11" i="2"/>
  <c r="K10" i="3" s="1"/>
  <c r="L12" i="2"/>
  <c r="K11" i="3" s="1"/>
  <c r="L13" i="2"/>
  <c r="K12" i="3" s="1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3" i="2"/>
  <c r="K2" i="3" s="1"/>
  <c r="K10" i="2"/>
  <c r="J9" i="3" s="1"/>
  <c r="K11" i="2"/>
  <c r="J10" i="3" s="1"/>
  <c r="K7" i="2"/>
  <c r="J6" i="3" s="1"/>
  <c r="K8" i="2"/>
  <c r="J7" i="3" s="1"/>
  <c r="K4" i="2"/>
  <c r="K5" i="2"/>
  <c r="J4" i="3" s="1"/>
  <c r="K3" i="2"/>
  <c r="J2" i="3" s="1"/>
  <c r="J10" i="2"/>
  <c r="I9" i="3" s="1"/>
  <c r="J11" i="2"/>
  <c r="I10" i="3" s="1"/>
  <c r="J7" i="2"/>
  <c r="I6" i="3" s="1"/>
  <c r="J8" i="2"/>
  <c r="J4" i="2"/>
  <c r="I3" i="3" s="1"/>
  <c r="J5" i="2"/>
  <c r="J3" i="2"/>
  <c r="I2" i="3" s="1"/>
  <c r="I4" i="2"/>
  <c r="I5" i="2"/>
  <c r="H4" i="3" s="1"/>
  <c r="I6" i="2"/>
  <c r="I7" i="2"/>
  <c r="H6" i="3" s="1"/>
  <c r="I8" i="2"/>
  <c r="I9" i="2"/>
  <c r="H8" i="3" s="1"/>
  <c r="I10" i="2"/>
  <c r="H9" i="3" s="1"/>
  <c r="I11" i="2"/>
  <c r="H10" i="3" s="1"/>
  <c r="I3" i="2"/>
  <c r="H2" i="3" s="1"/>
  <c r="H4" i="2"/>
  <c r="G3" i="3" s="1"/>
  <c r="H5" i="2"/>
  <c r="G4" i="3" s="1"/>
  <c r="H6" i="2"/>
  <c r="G5" i="3" s="1"/>
  <c r="H7" i="2"/>
  <c r="G6" i="3" s="1"/>
  <c r="H8" i="2"/>
  <c r="G7" i="3" s="1"/>
  <c r="H9" i="2"/>
  <c r="H10" i="2"/>
  <c r="G9" i="3" s="1"/>
  <c r="H11" i="2"/>
  <c r="G10" i="3" s="1"/>
  <c r="H12" i="2"/>
  <c r="G11" i="3" s="1"/>
  <c r="H3" i="2"/>
  <c r="G4" i="2"/>
  <c r="F3" i="3" s="1"/>
  <c r="G5" i="2"/>
  <c r="G6" i="2"/>
  <c r="F5" i="3" s="1"/>
  <c r="G7" i="2"/>
  <c r="G8" i="2"/>
  <c r="F7" i="3" s="1"/>
  <c r="G9" i="2"/>
  <c r="F8" i="3" s="1"/>
  <c r="G10" i="2"/>
  <c r="F9" i="3" s="1"/>
  <c r="G11" i="2"/>
  <c r="F10" i="3" s="1"/>
  <c r="G12" i="2"/>
  <c r="F11" i="3" s="1"/>
  <c r="G13" i="2"/>
  <c r="F12" i="3" s="1"/>
  <c r="G3" i="2"/>
  <c r="F2" i="3" s="1"/>
  <c r="F4" i="2"/>
  <c r="E3" i="3" s="1"/>
  <c r="F5" i="2"/>
  <c r="E4" i="3" s="1"/>
  <c r="F6" i="2"/>
  <c r="E5" i="3" s="1"/>
  <c r="F7" i="2"/>
  <c r="E6" i="3" s="1"/>
  <c r="F8" i="2"/>
  <c r="E7" i="3" s="1"/>
  <c r="F9" i="2"/>
  <c r="E8" i="3" s="1"/>
  <c r="F10" i="2"/>
  <c r="E9" i="3" s="1"/>
  <c r="F11" i="2"/>
  <c r="E10" i="3" s="1"/>
  <c r="F12" i="2"/>
  <c r="E11" i="3" s="1"/>
  <c r="F13" i="2"/>
  <c r="E12" i="3" s="1"/>
  <c r="F3" i="2"/>
  <c r="E2" i="3" s="1"/>
  <c r="E4" i="2"/>
  <c r="D3" i="3" s="1"/>
  <c r="E5" i="2"/>
  <c r="D4" i="3" s="1"/>
  <c r="E6" i="2"/>
  <c r="D5" i="3" s="1"/>
  <c r="E7" i="2"/>
  <c r="D6" i="3" s="1"/>
  <c r="E8" i="2"/>
  <c r="D7" i="3" s="1"/>
  <c r="E9" i="2"/>
  <c r="E10" i="2"/>
  <c r="D9" i="3" s="1"/>
  <c r="E11" i="2"/>
  <c r="D10" i="3" s="1"/>
  <c r="E12" i="2"/>
  <c r="D11" i="3" s="1"/>
  <c r="E13" i="2"/>
  <c r="D12" i="3" s="1"/>
  <c r="E3" i="2"/>
  <c r="D2" i="3" s="1"/>
  <c r="D4" i="2"/>
  <c r="C3" i="3" s="1"/>
  <c r="D5" i="2"/>
  <c r="C4" i="3" s="1"/>
  <c r="D6" i="2"/>
  <c r="D7" i="2"/>
  <c r="C6" i="3" s="1"/>
  <c r="D8" i="2"/>
  <c r="C7" i="3" s="1"/>
  <c r="D9" i="2"/>
  <c r="C8" i="3" s="1"/>
  <c r="D10" i="2"/>
  <c r="C9" i="3" s="1"/>
  <c r="D11" i="2"/>
  <c r="C10" i="3" s="1"/>
  <c r="D12" i="2"/>
  <c r="C11" i="3" s="1"/>
  <c r="D13" i="2"/>
  <c r="C12" i="3" s="1"/>
  <c r="D3" i="2"/>
  <c r="C2" i="3" s="1"/>
  <c r="C4" i="2"/>
  <c r="B3" i="3" s="1"/>
  <c r="C5" i="2"/>
  <c r="B4" i="3" s="1"/>
  <c r="C6" i="2"/>
  <c r="B5" i="3" s="1"/>
  <c r="C7" i="2"/>
  <c r="B6" i="3" s="1"/>
  <c r="C8" i="2"/>
  <c r="B7" i="3" s="1"/>
  <c r="C9" i="2"/>
  <c r="B8" i="3" s="1"/>
  <c r="C10" i="2"/>
  <c r="B9" i="3" s="1"/>
  <c r="C11" i="2"/>
  <c r="B10" i="3" s="1"/>
  <c r="C12" i="2"/>
  <c r="B11" i="3" s="1"/>
  <c r="C13" i="2"/>
  <c r="B12" i="3" s="1"/>
  <c r="C3" i="2"/>
  <c r="B2" i="3" s="1"/>
  <c r="G2" i="3"/>
  <c r="B4" i="2"/>
  <c r="A3" i="3" s="1"/>
  <c r="B5" i="2"/>
  <c r="A4" i="3" s="1"/>
  <c r="B6" i="2"/>
  <c r="A5" i="3" s="1"/>
  <c r="B7" i="2"/>
  <c r="A6" i="3" s="1"/>
  <c r="B8" i="2"/>
  <c r="A7" i="3" s="1"/>
  <c r="B9" i="2"/>
  <c r="A8" i="3" s="1"/>
  <c r="B10" i="2"/>
  <c r="A9" i="3" s="1"/>
  <c r="B12" i="2"/>
  <c r="A11" i="3" s="1"/>
  <c r="B13" i="2"/>
  <c r="A12" i="3" s="1"/>
  <c r="B3" i="2"/>
  <c r="A2" i="3" s="1"/>
  <c r="J3" i="3"/>
  <c r="I4" i="3"/>
  <c r="C5" i="3"/>
  <c r="F6" i="3"/>
  <c r="H7" i="3"/>
  <c r="I7" i="3"/>
  <c r="D8" i="3"/>
  <c r="G8" i="3"/>
  <c r="B1" i="3"/>
  <c r="C1" i="3"/>
  <c r="D1" i="3"/>
  <c r="E1" i="3"/>
  <c r="F1" i="3"/>
  <c r="G1" i="3"/>
  <c r="H1" i="3"/>
  <c r="I1" i="3"/>
  <c r="J1" i="3"/>
  <c r="A1" i="3"/>
  <c r="H3" i="3" l="1"/>
  <c r="H5" i="3"/>
  <c r="F4" i="3"/>
</calcChain>
</file>

<file path=xl/sharedStrings.xml><?xml version="1.0" encoding="utf-8"?>
<sst xmlns="http://schemas.openxmlformats.org/spreadsheetml/2006/main" count="30" uniqueCount="30">
  <si>
    <t>Número</t>
  </si>
  <si>
    <t>Actividad</t>
  </si>
  <si>
    <t>Fecha de Inicio</t>
  </si>
  <si>
    <t>Estado</t>
  </si>
  <si>
    <t>Solicitante</t>
  </si>
  <si>
    <t>EL</t>
  </si>
  <si>
    <t>EG</t>
  </si>
  <si>
    <t>Título</t>
  </si>
  <si>
    <t>Prueba</t>
  </si>
  <si>
    <t>PRUEBA</t>
  </si>
  <si>
    <t>EK</t>
  </si>
  <si>
    <t>EQ</t>
  </si>
  <si>
    <t>SBZ</t>
  </si>
  <si>
    <t>Lavados de cobre</t>
  </si>
  <si>
    <t>Purificacion</t>
  </si>
  <si>
    <t>Cadmio</t>
  </si>
  <si>
    <t>Fecha de Solicitud</t>
  </si>
  <si>
    <t>Fecha de Finalización</t>
  </si>
  <si>
    <t>En espera</t>
  </si>
  <si>
    <t>En proceso</t>
  </si>
  <si>
    <t>Entregado</t>
  </si>
  <si>
    <t>LM</t>
  </si>
  <si>
    <t>Laboratorio Metalurgia</t>
  </si>
  <si>
    <t>ESTATUS</t>
  </si>
  <si>
    <t>PROCEDENCIA</t>
  </si>
  <si>
    <t>CALENDARIO DE PRUEBAS METALURGIA</t>
  </si>
  <si>
    <t>Análisis de Laboratorio</t>
  </si>
  <si>
    <t>Fecha Laboratorio</t>
  </si>
  <si>
    <t>Esperando Lab.</t>
  </si>
  <si>
    <t>Notas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</si>
</sst>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2" borderId="0" xfId="0" applyFill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2" borderId="1" xfId="0" applyFill="1" applyBorder="1" applyAlignment="1">
      <alignment vertical="center"/>
    </xf>
    <xf numFmtId="14" fontId="0" fillId="0" borderId="1" xfId="0" applyNumberFormat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14" fontId="0" fillId="0" borderId="1" xfId="0" applyNumberFormat="1" applyBorder="1" applyAlignment="1">
      <alignment horizontal="center" vertical="center" wrapText="1"/>
    </xf>
    <xf numFmtId="2" fontId="0" fillId="0" borderId="0" xfId="0" applyNumberFormat="1"/>
    <xf numFmtId="0" fontId="3" fillId="2" borderId="2" xfId="0" applyFont="1" applyFill="1" applyBorder="1" applyAlignment="1">
      <alignment horizontal="center" vertical="center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70C0"/>
      </font>
      <fill>
        <patternFill>
          <bgColor theme="3" tint="0.89996032593768116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276225</xdr:colOff>
      <xdr:row>0</xdr:row>
      <xdr:rowOff>67773</xdr:rowOff>
    </xdr:from>
    <xdr:to>
      <xdr:col>0</xdr:col>
      <xdr:colOff>533400</xdr:colOff>
      <xdr:row>0</xdr:row>
      <xdr:rowOff>330119</xdr:rowOff>
    </xdr:to>
    <xdr:pic>
      <xdr:nvPicPr>
        <xdr:cNvPr id="2" name="Imagen 1" descr="Grupo México logo in transparent PNG and vectorized SVG formats">
          <a:extLst>
            <a:ext uri="{FF2B5EF4-FFF2-40B4-BE49-F238E27FC236}">
              <a16:creationId xmlns:a16="http://schemas.microsoft.com/office/drawing/2014/main" id="{D997C365-ACE5-42F4-95CB-F252741E16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276225" y="67773"/>
          <a:ext cx="257175" cy="2623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276225</xdr:colOff>
      <xdr:row>0</xdr:row>
      <xdr:rowOff>67773</xdr:rowOff>
    </xdr:from>
    <xdr:to>
      <xdr:col>0</xdr:col>
      <xdr:colOff>533400</xdr:colOff>
      <xdr:row>0</xdr:row>
      <xdr:rowOff>330119</xdr:rowOff>
    </xdr:to>
    <xdr:pic>
      <xdr:nvPicPr>
        <xdr:cNvPr id="3" name="Imagen 2" descr="Grupo México logo in transparent PNG and vectorized SVG formats">
          <a:extLst>
            <a:ext uri="{FF2B5EF4-FFF2-40B4-BE49-F238E27FC236}">
              <a16:creationId xmlns:a16="http://schemas.microsoft.com/office/drawing/2014/main" id="{9AAD3A1A-BCC4-4769-8A11-111A82EA56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276225" y="67773"/>
          <a:ext cx="257175" cy="2623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mericasmining-my.sharepoint.com/personal/00561383_gmexico_com/Documents/Desktop/METALURGIA_PP/Calendario_Pruebas.xlsm" TargetMode="External"/><Relationship Id="rId1" Type="http://schemas.openxmlformats.org/officeDocument/2006/relationships/externalLinkPath" Target="/personal/00561383_gmexico_com/Documents/Desktop/METALURGIA_PP/Calendario_Prueb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UEBAS"/>
    </sheetNames>
    <sheetDataSet>
      <sheetData sheetId="0">
        <row r="3">
          <cell r="B3" t="str">
            <v>EG-01</v>
          </cell>
          <cell r="C3" t="str">
            <v>Solubilidad de As₂O₃</v>
          </cell>
          <cell r="D3" t="str">
            <v>Evaluar la solubilidad de As2O3 en:
1. Agua (pH~7)
2. Agua de proceso (pH~4) + NaOH
3. Calcular factor kg NaOH / L H2O</v>
          </cell>
          <cell r="E3" t="str">
            <v>NA</v>
          </cell>
          <cell r="F3" t="str">
            <v>Purificacion</v>
          </cell>
          <cell r="G3">
            <v>45806</v>
          </cell>
          <cell r="H3">
            <v>45806</v>
          </cell>
          <cell r="I3" t="str">
            <v>NA</v>
          </cell>
          <cell r="J3">
            <v>45806</v>
          </cell>
          <cell r="K3" t="str">
            <v>Reporte enviado</v>
          </cell>
          <cell r="L3" t="str">
            <v>Entregado</v>
          </cell>
        </row>
        <row r="4">
          <cell r="B4" t="str">
            <v>LM-01</v>
          </cell>
          <cell r="C4" t="str">
            <v>Limpieza de laboratorio</v>
          </cell>
          <cell r="D4" t="str">
            <v>Limpieza de laboratorio:
1. Lavado de material.
2. Limpieza de mesas de trabajo
3. Limpieza de cuarto de básculas</v>
          </cell>
          <cell r="E4" t="str">
            <v>NA</v>
          </cell>
          <cell r="F4" t="str">
            <v>Metalurgia</v>
          </cell>
          <cell r="G4">
            <v>45803</v>
          </cell>
          <cell r="H4">
            <v>45806</v>
          </cell>
          <cell r="I4" t="str">
            <v>NA</v>
          </cell>
          <cell r="J4">
            <v>45806</v>
          </cell>
          <cell r="K4" t="str">
            <v>Sin reporte generado</v>
          </cell>
          <cell r="L4" t="str">
            <v>Entregado</v>
          </cell>
        </row>
        <row r="5">
          <cell r="B5" t="str">
            <v>EG-02</v>
          </cell>
          <cell r="C5" t="str">
            <v>Evaluación de As₂O₃ en purificación caliente</v>
          </cell>
          <cell r="D5" t="str">
            <v>Evaluar el comportamiento de la solución de As₂O₃ utilizada en purificación caliente (EG-008) y una solución concentrada de As₂O₃ disuelto en medio alcalino utilizando el factor 164 g NaOH / L H2O</v>
          </cell>
          <cell r="E5" t="str">
            <v>Solucion: [Cu], [Co]</v>
          </cell>
          <cell r="F5" t="str">
            <v>Purificacion</v>
          </cell>
          <cell r="G5">
            <v>45798</v>
          </cell>
          <cell r="H5">
            <v>45808</v>
          </cell>
          <cell r="I5">
            <v>45808</v>
          </cell>
          <cell r="J5">
            <v>45817</v>
          </cell>
          <cell r="K5" t="str">
            <v>Reporte enviado</v>
          </cell>
          <cell r="L5" t="str">
            <v>Entregado</v>
          </cell>
        </row>
        <row r="6">
          <cell r="B6" t="str">
            <v>LM-02</v>
          </cell>
          <cell r="C6" t="str">
            <v>Curva de calibración Cobalto</v>
          </cell>
          <cell r="D6" t="str">
            <v>Realizar una curva de calibración para la determinación de cobalto en un rango de 0 - 2 ppm</v>
          </cell>
          <cell r="E6" t="str">
            <v>NA</v>
          </cell>
          <cell r="F6" t="str">
            <v>Metalurgia</v>
          </cell>
          <cell r="G6">
            <v>45806</v>
          </cell>
          <cell r="H6">
            <v>45807</v>
          </cell>
          <cell r="I6" t="str">
            <v>NA</v>
          </cell>
          <cell r="L6" t="str">
            <v>En Proceso</v>
          </cell>
        </row>
        <row r="7">
          <cell r="B7" t="str">
            <v>EL-01</v>
          </cell>
          <cell r="C7" t="str">
            <v>Extracción y eliminación de Cobalto y Cadmio de los cementos de Cobre</v>
          </cell>
          <cell r="D7" t="str">
            <v xml:space="preserve"> Evaluar las condiciones óptimas de pH para la extracción de cobalto de los cementos de cobre. </v>
          </cell>
          <cell r="E7" t="str">
            <v>Sólido: [Co], [Cu], [Cd], [Zn]                          Sólución: [Co], [Cu], [Cd], [Zn]</v>
          </cell>
          <cell r="F7" t="str">
            <v>Purificacion</v>
          </cell>
          <cell r="G7">
            <v>45798</v>
          </cell>
          <cell r="H7">
            <v>45805</v>
          </cell>
          <cell r="I7">
            <v>45806</v>
          </cell>
          <cell r="J7">
            <v>45814</v>
          </cell>
          <cell r="K7" t="str">
            <v>Reporte enviado</v>
          </cell>
          <cell r="L7" t="str">
            <v>Entregado</v>
          </cell>
        </row>
        <row r="8">
          <cell r="B8" t="str">
            <v>EG-03</v>
          </cell>
          <cell r="C8" t="str">
            <v>Optimización de solución de As₂O₃ en NaOH</v>
          </cell>
          <cell r="D8" t="str">
            <v>Disminuir el consumo de NaOH para  la disolución del 100% de As₂O₃</v>
          </cell>
          <cell r="E8" t="str">
            <v>NA</v>
          </cell>
          <cell r="F8" t="str">
            <v>Metalurgia</v>
          </cell>
          <cell r="G8">
            <v>45810</v>
          </cell>
          <cell r="H8">
            <v>45810</v>
          </cell>
          <cell r="I8" t="str">
            <v>NA</v>
          </cell>
          <cell r="J8">
            <v>45814</v>
          </cell>
          <cell r="K8" t="str">
            <v>El resultado se adjuntó al reporte EG-01.</v>
          </cell>
          <cell r="L8" t="str">
            <v>Entregado</v>
          </cell>
        </row>
        <row r="9">
          <cell r="B9" t="str">
            <v>EG-04</v>
          </cell>
          <cell r="C9" t="str">
            <v>Formulación y preparación de As₂O₃</v>
          </cell>
          <cell r="D9" t="str">
            <v>Redacción de fórmula para la preparación de As₂O₃ con NaOH y H2O</v>
          </cell>
          <cell r="E9" t="str">
            <v>NA</v>
          </cell>
          <cell r="F9" t="str">
            <v>Purificacion</v>
          </cell>
          <cell r="G9">
            <v>45806</v>
          </cell>
          <cell r="H9">
            <v>45818</v>
          </cell>
          <cell r="I9" t="str">
            <v>NA</v>
          </cell>
          <cell r="L9" t="str">
            <v>En Proceso</v>
          </cell>
        </row>
        <row r="10">
          <cell r="B10" t="str">
            <v>EG-05</v>
          </cell>
          <cell r="C10" t="str">
            <v>Evaluación de As₂O₃ en purificación caliente (Prueba 2)</v>
          </cell>
          <cell r="D10" t="str">
            <v>Preparar una solución concentrada de As₂O₃ disuelto en medio alcalino utilizando el factor 110 g NaOH / L H2O,  5 mL As2O3 [280 g/L]. Repetir EG-02.</v>
          </cell>
          <cell r="E10" t="str">
            <v>Solucion: [Cu], [Co]</v>
          </cell>
          <cell r="F10" t="str">
            <v>Purificacion</v>
          </cell>
          <cell r="G10">
            <v>45810</v>
          </cell>
          <cell r="H10">
            <v>45811</v>
          </cell>
          <cell r="I10">
            <v>45813</v>
          </cell>
          <cell r="J10">
            <v>45817</v>
          </cell>
          <cell r="K10" t="str">
            <v>El resultado se adjuntó al reporte EG-02.</v>
          </cell>
          <cell r="L10" t="str">
            <v>Entregado</v>
          </cell>
        </row>
        <row r="11">
          <cell r="B11" t="str">
            <v>LM-03</v>
          </cell>
          <cell r="C11" t="str">
            <v>Curva de solubilidad As2O3 a 60°C</v>
          </cell>
          <cell r="D11" t="str">
            <v>Cuantificar la solubilidad del arsénico a 60°C en medios alcalinos</v>
          </cell>
          <cell r="E11" t="str">
            <v>NA</v>
          </cell>
          <cell r="F11" t="str">
            <v>Metalurgia</v>
          </cell>
          <cell r="G11">
            <v>45817</v>
          </cell>
          <cell r="H11">
            <v>45817</v>
          </cell>
          <cell r="I11" t="str">
            <v>NA</v>
          </cell>
          <cell r="J11">
            <v>45817</v>
          </cell>
          <cell r="K11" t="str">
            <v>Reporte enviado</v>
          </cell>
          <cell r="L11" t="str">
            <v>Entregado</v>
          </cell>
        </row>
        <row r="12">
          <cell r="B12" t="str">
            <v>EG-06</v>
          </cell>
          <cell r="C12" t="str">
            <v>Evaluación de As₂O₃ en purificación caliente (Prueba 3)</v>
          </cell>
          <cell r="D12" t="str">
            <v>Preparar una solución concentrada de As₂O₃ disuelto en medio alcalino utilizando el factor 60 g NaOH / L H2O,  5 mL As2O3 [280 g/L]. Repetir EG-002.
Evaluar reproducibilidad a las mismas condiciones.</v>
          </cell>
          <cell r="E12" t="str">
            <v>Solución: [Cu], [Co]</v>
          </cell>
          <cell r="F12" t="str">
            <v>Purificacion</v>
          </cell>
          <cell r="G12">
            <v>45817</v>
          </cell>
          <cell r="H12">
            <v>45818</v>
          </cell>
          <cell r="L12" t="str">
            <v>Esperando Lab.</v>
          </cell>
        </row>
        <row r="13">
          <cell r="B13" t="str">
            <v>EG-07</v>
          </cell>
          <cell r="C13" t="str">
            <v>Decobrizado fraccionado</v>
          </cell>
          <cell r="D13" t="str">
            <v>Evaluar la viabilidad de un decobrizado previo a la reacción de decobaltación</v>
          </cell>
          <cell r="E13" t="str">
            <v>Solución: [Cu], [Co]</v>
          </cell>
          <cell r="F13" t="str">
            <v>Purificacion</v>
          </cell>
          <cell r="G13">
            <v>45820</v>
          </cell>
          <cell r="L13" t="str">
            <v>Esperando Lab.</v>
          </cell>
        </row>
        <row r="14">
          <cell r="B14" t="str">
            <v>EG-08</v>
          </cell>
          <cell r="C14" t="str">
            <v>Análisis del avance de redisolución del cobalto a distintos tiempos de residencia</v>
          </cell>
          <cell r="D14" t="str">
            <v>Evaluar las concentraciones de cobalto a distintos tiempos de residencia, simulando diferentes flujos en la purificación caliente</v>
          </cell>
          <cell r="E14" t="str">
            <v>Solución: [Cu], [Co]</v>
          </cell>
          <cell r="F14" t="str">
            <v>Purificacion</v>
          </cell>
          <cell r="G14">
            <v>45820</v>
          </cell>
          <cell r="L14" t="str">
            <v>Esperando Lab.</v>
          </cell>
        </row>
        <row r="15">
          <cell r="B15" t="str">
            <v>EG-09</v>
          </cell>
          <cell r="C15" t="str">
            <v>Elección de los puntos de dosificación de As2O3 y polvo de Zn</v>
          </cell>
          <cell r="D15" t="str">
            <v>Elegir los puntos de dosificación de As2O3 y polvo de Zn en caso de redisolución de Co</v>
          </cell>
          <cell r="E15" t="str">
            <v>Solución: [Cu], [Co]</v>
          </cell>
          <cell r="F15" t="str">
            <v>Purificacion</v>
          </cell>
          <cell r="G15">
            <v>45820</v>
          </cell>
          <cell r="L15" t="str">
            <v>Esperando Lab.</v>
          </cell>
        </row>
        <row r="16">
          <cell r="L16" t="str">
            <v/>
          </cell>
        </row>
        <row r="17">
          <cell r="L17" t="str">
            <v/>
          </cell>
        </row>
        <row r="18">
          <cell r="L18" t="str">
            <v/>
          </cell>
        </row>
        <row r="19">
          <cell r="L19" t="str">
            <v/>
          </cell>
        </row>
        <row r="20">
          <cell r="L20" t="str">
            <v/>
          </cell>
        </row>
        <row r="21">
          <cell r="L21" t="str">
            <v/>
          </cell>
        </row>
        <row r="22">
          <cell r="L22" t="str">
            <v/>
          </cell>
        </row>
        <row r="23">
          <cell r="L23" t="str">
            <v/>
          </cell>
        </row>
        <row r="24">
          <cell r="L24" t="str">
            <v/>
          </cell>
        </row>
        <row r="25">
          <cell r="L25" t="str">
            <v/>
          </cell>
        </row>
        <row r="26">
          <cell r="L26" t="str">
            <v/>
          </cell>
        </row>
        <row r="27">
          <cell r="L27" t="str">
            <v/>
          </cell>
        </row>
        <row r="28">
          <cell r="L28" t="str">
            <v/>
          </cell>
        </row>
        <row r="29">
          <cell r="L29" t="str">
            <v/>
          </cell>
        </row>
        <row r="30">
          <cell r="L30" t="str">
            <v/>
          </cell>
        </row>
        <row r="31">
          <cell r="L31" t="str">
            <v/>
          </cell>
        </row>
        <row r="32">
          <cell r="L32" t="str">
            <v/>
          </cell>
        </row>
        <row r="33">
          <cell r="L33" t="str">
            <v/>
          </cell>
        </row>
        <row r="34">
          <cell r="L34" t="str">
            <v/>
          </cell>
        </row>
        <row r="35">
          <cell r="L35" t="str">
            <v/>
          </cell>
        </row>
        <row r="36">
          <cell r="L36" t="str">
            <v/>
          </cell>
        </row>
        <row r="37">
          <cell r="L37" t="str">
            <v/>
          </cell>
        </row>
        <row r="38">
          <cell r="L38" t="str">
            <v/>
          </cell>
        </row>
        <row r="39">
          <cell r="L39" t="str">
            <v/>
          </cell>
        </row>
        <row r="40">
          <cell r="L40" t="str">
            <v/>
          </cell>
        </row>
        <row r="41">
          <cell r="L41" t="str">
            <v/>
          </cell>
        </row>
        <row r="42">
          <cell r="L42" t="str">
            <v/>
          </cell>
        </row>
        <row r="43">
          <cell r="L43" t="str">
            <v/>
          </cell>
        </row>
        <row r="44">
          <cell r="L44" t="str">
            <v/>
          </cell>
        </row>
        <row r="45">
          <cell r="L45" t="str">
            <v/>
          </cell>
        </row>
        <row r="46">
          <cell r="L46" t="str">
            <v/>
          </cell>
        </row>
        <row r="47">
          <cell r="L47" t="str">
            <v/>
          </cell>
        </row>
        <row r="48">
          <cell r="L48" t="str">
            <v/>
          </cell>
        </row>
        <row r="49">
          <cell r="L49" t="str">
            <v/>
          </cell>
        </row>
        <row r="50">
          <cell r="L50" t="str">
            <v/>
          </cell>
        </row>
        <row r="51">
          <cell r="L51" t="str">
            <v/>
          </cell>
        </row>
        <row r="52">
          <cell r="L52" t="str">
            <v/>
          </cell>
        </row>
        <row r="53">
          <cell r="L53" t="str">
            <v/>
          </cell>
        </row>
        <row r="54">
          <cell r="L54" t="str">
            <v/>
          </cell>
        </row>
        <row r="55">
          <cell r="L55" t="str">
            <v/>
          </cell>
        </row>
        <row r="56">
          <cell r="L56" t="str">
            <v/>
          </cell>
        </row>
        <row r="57">
          <cell r="L57" t="str">
            <v/>
          </cell>
        </row>
        <row r="58">
          <cell r="L58" t="str">
            <v/>
          </cell>
        </row>
        <row r="59">
          <cell r="L59" t="str">
            <v/>
          </cell>
        </row>
        <row r="60">
          <cell r="L60" t="str">
            <v/>
          </cell>
        </row>
        <row r="61">
          <cell r="L61" t="str">
            <v/>
          </cell>
        </row>
        <row r="62">
          <cell r="L62" t="str">
            <v/>
          </cell>
        </row>
        <row r="63">
          <cell r="L63" t="str">
            <v/>
          </cell>
        </row>
        <row r="64">
          <cell r="L64" t="str">
            <v/>
          </cell>
        </row>
        <row r="65">
          <cell r="L65" t="str">
            <v/>
          </cell>
        </row>
        <row r="66">
          <cell r="L66" t="str">
            <v/>
          </cell>
        </row>
        <row r="67">
          <cell r="L67" t="str">
            <v/>
          </cell>
        </row>
        <row r="68">
          <cell r="L68" t="str">
            <v/>
          </cell>
        </row>
        <row r="69">
          <cell r="L69" t="str">
            <v/>
          </cell>
        </row>
        <row r="70">
          <cell r="L70" t="str">
            <v/>
          </cell>
        </row>
        <row r="71">
          <cell r="L71" t="str">
            <v/>
          </cell>
        </row>
        <row r="72">
          <cell r="L72" t="str">
            <v/>
          </cell>
        </row>
        <row r="73">
          <cell r="L73" t="str">
            <v/>
          </cell>
        </row>
        <row r="74">
          <cell r="L74" t="str">
            <v/>
          </cell>
        </row>
        <row r="75">
          <cell r="L75" t="str">
            <v/>
          </cell>
        </row>
        <row r="76">
          <cell r="L76" t="str">
            <v/>
          </cell>
        </row>
        <row r="77">
          <cell r="L77" t="str">
            <v/>
          </cell>
        </row>
        <row r="78">
          <cell r="L78" t="str">
            <v/>
          </cell>
        </row>
        <row r="79">
          <cell r="L79" t="str">
            <v/>
          </cell>
        </row>
        <row r="80">
          <cell r="L80" t="str">
            <v/>
          </cell>
        </row>
        <row r="81">
          <cell r="L81" t="str">
            <v/>
          </cell>
        </row>
        <row r="82">
          <cell r="L82" t="str">
            <v/>
          </cell>
        </row>
        <row r="83">
          <cell r="L83" t="str">
            <v/>
          </cell>
        </row>
        <row r="84">
          <cell r="L84" t="str">
            <v/>
          </cell>
        </row>
        <row r="85">
          <cell r="L85" t="str">
            <v/>
          </cell>
        </row>
        <row r="86">
          <cell r="L86" t="str">
            <v/>
          </cell>
        </row>
        <row r="87">
          <cell r="L87" t="str">
            <v/>
          </cell>
        </row>
        <row r="88">
          <cell r="L88" t="str">
            <v/>
          </cell>
        </row>
        <row r="89">
          <cell r="L89" t="str">
            <v/>
          </cell>
        </row>
        <row r="90">
          <cell r="L90" t="str">
            <v/>
          </cell>
        </row>
        <row r="91">
          <cell r="L91" t="str">
            <v/>
          </cell>
        </row>
        <row r="92">
          <cell r="L92" t="str">
            <v/>
          </cell>
        </row>
        <row r="93">
          <cell r="L93" t="str">
            <v/>
          </cell>
        </row>
        <row r="94">
          <cell r="L94" t="str">
            <v/>
          </cell>
        </row>
        <row r="95">
          <cell r="L95" t="str">
            <v/>
          </cell>
        </row>
        <row r="96">
          <cell r="L96" t="str">
            <v/>
          </cell>
        </row>
        <row r="97">
          <cell r="L97" t="str">
            <v/>
          </cell>
        </row>
        <row r="98">
          <cell r="L98" t="str">
            <v/>
          </cell>
        </row>
        <row r="99">
          <cell r="L99" t="str">
            <v/>
          </cell>
        </row>
        <row r="100">
          <cell r="L100" t="str">
            <v/>
          </cell>
        </row>
        <row r="101">
          <cell r="L101" t="str">
            <v/>
          </cell>
        </row>
        <row r="102">
          <cell r="L102" t="str">
            <v/>
          </cell>
        </row>
        <row r="103">
          <cell r="L103" t="str">
            <v/>
          </cell>
        </row>
        <row r="104">
          <cell r="L104" t="str">
            <v/>
          </cell>
        </row>
        <row r="105">
          <cell r="L105" t="str">
            <v/>
          </cell>
        </row>
        <row r="106">
          <cell r="L106" t="str">
            <v/>
          </cell>
        </row>
        <row r="107">
          <cell r="L107" t="str">
            <v/>
          </cell>
        </row>
        <row r="108">
          <cell r="L108" t="str">
            <v/>
          </cell>
        </row>
        <row r="109">
          <cell r="L109" t="str">
            <v/>
          </cell>
        </row>
        <row r="110">
          <cell r="L110" t="str">
            <v/>
          </cell>
        </row>
        <row r="111">
          <cell r="L111" t="str">
            <v/>
          </cell>
        </row>
        <row r="112">
          <cell r="L112" t="str">
            <v/>
          </cell>
        </row>
        <row r="113">
          <cell r="L113" t="str">
            <v/>
          </cell>
        </row>
        <row r="114">
          <cell r="L114" t="str">
            <v/>
          </cell>
        </row>
        <row r="115">
          <cell r="L115" t="str">
            <v/>
          </cell>
        </row>
        <row r="116">
          <cell r="L116" t="str">
            <v/>
          </cell>
        </row>
        <row r="117">
          <cell r="L117" t="str">
            <v/>
          </cell>
        </row>
        <row r="118">
          <cell r="L118" t="str">
            <v/>
          </cell>
        </row>
        <row r="119">
          <cell r="L119" t="str">
            <v/>
          </cell>
        </row>
        <row r="120">
          <cell r="L120" t="str">
            <v/>
          </cell>
        </row>
        <row r="121">
          <cell r="L121" t="str">
            <v/>
          </cell>
        </row>
        <row r="122">
          <cell r="L122" t="str">
            <v/>
          </cell>
        </row>
        <row r="123">
          <cell r="L123" t="str">
            <v/>
          </cell>
        </row>
        <row r="124">
          <cell r="L124" t="str">
            <v/>
          </cell>
        </row>
        <row r="125">
          <cell r="L125" t="str">
            <v/>
          </cell>
        </row>
        <row r="126">
          <cell r="L126" t="str">
            <v/>
          </cell>
        </row>
        <row r="127">
          <cell r="L127" t="str">
            <v/>
          </cell>
        </row>
        <row r="128">
          <cell r="L128" t="str">
            <v/>
          </cell>
        </row>
        <row r="129">
          <cell r="L129" t="str">
            <v/>
          </cell>
        </row>
        <row r="130">
          <cell r="L130" t="str">
            <v/>
          </cell>
        </row>
        <row r="131">
          <cell r="L131" t="str">
            <v/>
          </cell>
        </row>
        <row r="132">
          <cell r="L132" t="str">
            <v/>
          </cell>
        </row>
        <row r="133">
          <cell r="L133" t="str">
            <v/>
          </cell>
        </row>
        <row r="134">
          <cell r="L134" t="str">
            <v/>
          </cell>
        </row>
        <row r="135">
          <cell r="L135" t="str">
            <v/>
          </cell>
        </row>
        <row r="136">
          <cell r="L136" t="str">
            <v/>
          </cell>
        </row>
        <row r="137">
          <cell r="L137" t="str">
            <v/>
          </cell>
        </row>
        <row r="138">
          <cell r="L138" t="str">
            <v/>
          </cell>
        </row>
        <row r="139">
          <cell r="L139" t="str">
            <v/>
          </cell>
        </row>
        <row r="140">
          <cell r="L140" t="str">
            <v/>
          </cell>
        </row>
        <row r="141">
          <cell r="L141" t="str">
            <v/>
          </cell>
        </row>
        <row r="142">
          <cell r="L142" t="str">
            <v/>
          </cell>
        </row>
        <row r="143">
          <cell r="L143" t="str">
            <v/>
          </cell>
        </row>
        <row r="144">
          <cell r="L144" t="str">
            <v/>
          </cell>
        </row>
        <row r="145">
          <cell r="L145" t="str">
            <v/>
          </cell>
        </row>
        <row r="146">
          <cell r="L146" t="str">
            <v/>
          </cell>
        </row>
        <row r="147">
          <cell r="L147" t="str">
            <v/>
          </cell>
        </row>
        <row r="148">
          <cell r="L148" t="str">
            <v/>
          </cell>
        </row>
        <row r="149">
          <cell r="L149" t="str">
            <v/>
          </cell>
        </row>
        <row r="150">
          <cell r="L150" t="str">
            <v/>
          </cell>
        </row>
        <row r="151">
          <cell r="L151" t="str">
            <v/>
          </cell>
        </row>
        <row r="152">
          <cell r="L152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59E39-2FE5-4B1D-A98B-D3F20914504A}">
  <sheetPr codeName="Hoja2">
    <pageSetUpPr autoPageBreaks="0"/>
  </sheetPr>
  <dimension ref="A1:X152"/>
  <sheetViews>
    <sheetView showGridLines="0" topLeftCell="A10" zoomScale="85" zoomScaleNormal="85" workbookViewId="0">
      <selection activeCell="B12" sqref="B12"/>
    </sheetView>
  </sheetViews>
  <sheetFormatPr baseColWidth="10" defaultColWidth="11.42578125" defaultRowHeight="15" x14ac:dyDescent="0.25"/>
  <cols>
    <col min="1" max="1" width="11.42578125" style="6"/>
    <col min="2" max="2" width="14.42578125" style="1" customWidth="1"/>
    <col min="3" max="3" width="33.140625" style="9" customWidth="1"/>
    <col min="4" max="4" width="72" style="9" customWidth="1"/>
    <col min="5" max="5" width="29.7109375" style="2" customWidth="1"/>
    <col min="6" max="6" width="16.140625" style="1" customWidth="1"/>
    <col min="7" max="7" width="12.140625" style="1" customWidth="1"/>
    <col min="8" max="9" width="13.140625" style="1" customWidth="1"/>
    <col min="10" max="10" width="13.7109375" style="1" customWidth="1"/>
    <col min="11" max="11" width="16.5703125" style="2" customWidth="1"/>
    <col min="12" max="12" width="16.28515625" style="1" bestFit="1" customWidth="1"/>
    <col min="13" max="14" width="11.42578125" style="5"/>
    <col min="15" max="15" width="21.42578125" style="5" bestFit="1" customWidth="1"/>
    <col min="16" max="16" width="16.28515625" style="5" bestFit="1" customWidth="1"/>
    <col min="17" max="17" width="11.42578125" style="5"/>
    <col min="18" max="18" width="21.42578125" style="5" bestFit="1" customWidth="1"/>
    <col min="19" max="23" width="11.42578125" style="5"/>
    <col min="24" max="24" width="14.5703125" style="5" bestFit="1" customWidth="1"/>
    <col min="25" max="16384" width="11.42578125" style="5"/>
  </cols>
  <sheetData>
    <row r="1" spans="1:24" s="3" customFormat="1" ht="33" customHeight="1" x14ac:dyDescent="0.25">
      <c r="A1" s="15" t="s">
        <v>25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</row>
    <row r="2" spans="1:24" s="12" customFormat="1" ht="31.5" x14ac:dyDescent="0.25">
      <c r="A2" s="10" t="s">
        <v>0</v>
      </c>
      <c r="B2" s="10" t="s">
        <v>8</v>
      </c>
      <c r="C2" s="10" t="s">
        <v>7</v>
      </c>
      <c r="D2" s="11" t="s">
        <v>1</v>
      </c>
      <c r="E2" s="11" t="s">
        <v>26</v>
      </c>
      <c r="F2" s="11" t="s">
        <v>4</v>
      </c>
      <c r="G2" s="11" t="s">
        <v>16</v>
      </c>
      <c r="H2" s="11" t="s">
        <v>2</v>
      </c>
      <c r="I2" s="11" t="s">
        <v>27</v>
      </c>
      <c r="J2" s="11" t="s">
        <v>17</v>
      </c>
      <c r="K2" s="11" t="s">
        <v>29</v>
      </c>
      <c r="L2" s="10" t="s">
        <v>3</v>
      </c>
    </row>
    <row r="3" spans="1:24" ht="60" x14ac:dyDescent="0.25">
      <c r="A3" s="4">
        <v>1</v>
      </c>
      <c r="B3" s="1" t="str">
        <f>+[1]PRUEBAS!B3</f>
        <v>EG-01</v>
      </c>
      <c r="C3" s="9" t="str">
        <f>+[1]PRUEBAS!C3</f>
        <v>Solubilidad de As₂O₃</v>
      </c>
      <c r="D3" s="9" t="str">
        <f>+[1]PRUEBAS!D3</f>
        <v>Evaluar la solubilidad de As2O3 en:
1. Agua (pH~7)
2. Agua de proceso (pH~4) + NaOH
3. Calcular factor kg NaOH / L H2O</v>
      </c>
      <c r="E3" s="2" t="str">
        <f>+[1]PRUEBAS!E3</f>
        <v>NA</v>
      </c>
      <c r="F3" s="1" t="str">
        <f>+[1]PRUEBAS!F3</f>
        <v>Purificacion</v>
      </c>
      <c r="G3" s="7">
        <f>+[1]PRUEBAS!G3</f>
        <v>45806</v>
      </c>
      <c r="H3" s="7">
        <f>+[1]PRUEBAS!H3</f>
        <v>45806</v>
      </c>
      <c r="I3" s="7" t="str">
        <f>+[1]PRUEBAS!I3</f>
        <v>NA</v>
      </c>
      <c r="J3" s="7">
        <f>+[1]PRUEBAS!J3</f>
        <v>45806</v>
      </c>
      <c r="K3" s="13" t="str">
        <f>+[1]PRUEBAS!K3</f>
        <v>Reporte enviado</v>
      </c>
      <c r="L3" s="1" t="str">
        <f>+[1]PRUEBAS!L3</f>
        <v>Entregado</v>
      </c>
    </row>
    <row r="4" spans="1:24" ht="60" x14ac:dyDescent="0.25">
      <c r="A4" s="4">
        <v>2</v>
      </c>
      <c r="B4" s="1" t="str">
        <f>+[1]PRUEBAS!B4</f>
        <v>LM-01</v>
      </c>
      <c r="C4" s="9" t="str">
        <f>+[1]PRUEBAS!C4</f>
        <v>Limpieza de laboratorio</v>
      </c>
      <c r="D4" s="9" t="str">
        <f>+[1]PRUEBAS!D4</f>
        <v>Limpieza de laboratorio:
1. Lavado de material.
2. Limpieza de mesas de trabajo
3. Limpieza de cuarto de básculas</v>
      </c>
      <c r="E4" s="2" t="str">
        <f>+[1]PRUEBAS!E4</f>
        <v>NA</v>
      </c>
      <c r="F4" s="1" t="str">
        <f>+[1]PRUEBAS!F4</f>
        <v>Metalurgia</v>
      </c>
      <c r="G4" s="7">
        <f>+[1]PRUEBAS!G4</f>
        <v>45803</v>
      </c>
      <c r="H4" s="7">
        <f>+[1]PRUEBAS!H4</f>
        <v>45806</v>
      </c>
      <c r="I4" s="7" t="str">
        <f>+[1]PRUEBAS!I4</f>
        <v>NA</v>
      </c>
      <c r="J4" s="7">
        <f>+[1]PRUEBAS!J4</f>
        <v>45806</v>
      </c>
      <c r="K4" s="13" t="str">
        <f>+[1]PRUEBAS!K4</f>
        <v>Sin reporte generado</v>
      </c>
      <c r="L4" s="1" t="str">
        <f>+[1]PRUEBAS!L4</f>
        <v>Entregado</v>
      </c>
      <c r="V4" s="8" t="s">
        <v>9</v>
      </c>
      <c r="W4" s="8" t="s">
        <v>24</v>
      </c>
      <c r="X4" s="8" t="s">
        <v>23</v>
      </c>
    </row>
    <row r="5" spans="1:24" ht="45" x14ac:dyDescent="0.25">
      <c r="A5" s="4">
        <v>3</v>
      </c>
      <c r="B5" s="1" t="str">
        <f>+[1]PRUEBAS!B5</f>
        <v>EG-02</v>
      </c>
      <c r="C5" s="9" t="str">
        <f>+[1]PRUEBAS!C5</f>
        <v>Evaluación de As₂O₃ en purificación caliente</v>
      </c>
      <c r="D5" s="9" t="str">
        <f>+[1]PRUEBAS!D5</f>
        <v>Evaluar el comportamiento de la solución de As₂O₃ utilizada en purificación caliente (EG-008) y una solución concentrada de As₂O₃ disuelto en medio alcalino utilizando el factor 164 g NaOH / L H2O</v>
      </c>
      <c r="E5" s="2" t="str">
        <f>+[1]PRUEBAS!E5</f>
        <v>Solucion: [Cu], [Co]</v>
      </c>
      <c r="F5" s="1" t="str">
        <f>+[1]PRUEBAS!F5</f>
        <v>Purificacion</v>
      </c>
      <c r="G5" s="7">
        <f>+[1]PRUEBAS!G5</f>
        <v>45798</v>
      </c>
      <c r="H5" s="7">
        <f>+[1]PRUEBAS!H5</f>
        <v>45808</v>
      </c>
      <c r="I5" s="7">
        <f>+[1]PRUEBAS!I5</f>
        <v>45808</v>
      </c>
      <c r="J5" s="7">
        <f>+[1]PRUEBAS!J5</f>
        <v>45817</v>
      </c>
      <c r="K5" s="13" t="str">
        <f>+[1]PRUEBAS!K5</f>
        <v>Reporte enviado</v>
      </c>
      <c r="L5" s="1" t="str">
        <f>+[1]PRUEBAS!L5</f>
        <v>Entregado</v>
      </c>
      <c r="V5" s="1" t="s">
        <v>5</v>
      </c>
      <c r="W5" s="1" t="s">
        <v>13</v>
      </c>
      <c r="X5" s="1" t="s">
        <v>18</v>
      </c>
    </row>
    <row r="6" spans="1:24" ht="30" x14ac:dyDescent="0.25">
      <c r="A6" s="4">
        <v>4</v>
      </c>
      <c r="B6" s="1" t="str">
        <f>+[1]PRUEBAS!B6</f>
        <v>LM-02</v>
      </c>
      <c r="C6" s="9" t="str">
        <f>+[1]PRUEBAS!C6</f>
        <v>Curva de calibración Cobalto</v>
      </c>
      <c r="D6" s="9" t="str">
        <f>+[1]PRUEBAS!D6</f>
        <v>Realizar una curva de calibración para la determinación de cobalto en un rango de 0 - 2 ppm</v>
      </c>
      <c r="E6" s="2" t="str">
        <f>+[1]PRUEBAS!E6</f>
        <v>NA</v>
      </c>
      <c r="F6" s="1" t="str">
        <f>+[1]PRUEBAS!F6</f>
        <v>Metalurgia</v>
      </c>
      <c r="G6" s="7">
        <f>+[1]PRUEBAS!G6</f>
        <v>45806</v>
      </c>
      <c r="H6" s="7">
        <f>+[1]PRUEBAS!H6</f>
        <v>45807</v>
      </c>
      <c r="I6" s="7" t="str">
        <f>+[1]PRUEBAS!I6</f>
        <v>NA</v>
      </c>
      <c r="J6" s="7"/>
      <c r="K6" s="13"/>
      <c r="L6" s="1" t="str">
        <f>+[1]PRUEBAS!L6</f>
        <v>En Proceso</v>
      </c>
      <c r="V6" s="1" t="s">
        <v>6</v>
      </c>
      <c r="W6" s="1" t="s">
        <v>14</v>
      </c>
      <c r="X6" s="1" t="s">
        <v>19</v>
      </c>
    </row>
    <row r="7" spans="1:24" ht="51" customHeight="1" x14ac:dyDescent="0.25">
      <c r="A7" s="4">
        <v>5</v>
      </c>
      <c r="B7" s="1" t="str">
        <f>+[1]PRUEBAS!B7</f>
        <v>EL-01</v>
      </c>
      <c r="C7" s="9" t="str">
        <f>+[1]PRUEBAS!C7</f>
        <v>Extracción y eliminación de Cobalto y Cadmio de los cementos de Cobre</v>
      </c>
      <c r="D7" s="9" t="str">
        <f>+[1]PRUEBAS!D7</f>
        <v xml:space="preserve"> Evaluar las condiciones óptimas de pH para la extracción de cobalto de los cementos de cobre. </v>
      </c>
      <c r="E7" s="2" t="str">
        <f>+[1]PRUEBAS!E7</f>
        <v>Sólido: [Co], [Cu], [Cd], [Zn]                          Sólución: [Co], [Cu], [Cd], [Zn]</v>
      </c>
      <c r="F7" s="1" t="str">
        <f>+[1]PRUEBAS!F7</f>
        <v>Purificacion</v>
      </c>
      <c r="G7" s="7">
        <f>+[1]PRUEBAS!G7</f>
        <v>45798</v>
      </c>
      <c r="H7" s="7">
        <f>+[1]PRUEBAS!H7</f>
        <v>45805</v>
      </c>
      <c r="I7" s="7">
        <f>+[1]PRUEBAS!I7</f>
        <v>45806</v>
      </c>
      <c r="J7" s="7">
        <f>+[1]PRUEBAS!J7</f>
        <v>45814</v>
      </c>
      <c r="K7" s="13" t="str">
        <f>+[1]PRUEBAS!K7</f>
        <v>Reporte enviado</v>
      </c>
      <c r="L7" s="1" t="str">
        <f>+[1]PRUEBAS!L7</f>
        <v>Entregado</v>
      </c>
      <c r="V7" s="1" t="s">
        <v>10</v>
      </c>
      <c r="W7" s="1" t="s">
        <v>15</v>
      </c>
      <c r="X7" s="1" t="s">
        <v>20</v>
      </c>
    </row>
    <row r="8" spans="1:24" ht="45" x14ac:dyDescent="0.25">
      <c r="A8" s="4">
        <v>6</v>
      </c>
      <c r="B8" s="1" t="str">
        <f>+[1]PRUEBAS!B8</f>
        <v>EG-03</v>
      </c>
      <c r="C8" s="9" t="str">
        <f>+[1]PRUEBAS!C8</f>
        <v>Optimización de solución de As₂O₃ en NaOH</v>
      </c>
      <c r="D8" s="9" t="str">
        <f>+[1]PRUEBAS!D8</f>
        <v>Disminuir el consumo de NaOH para  la disolución del 100% de As₂O₃</v>
      </c>
      <c r="E8" s="2" t="str">
        <f>+[1]PRUEBAS!E8</f>
        <v>NA</v>
      </c>
      <c r="F8" s="1" t="str">
        <f>+[1]PRUEBAS!F8</f>
        <v>Metalurgia</v>
      </c>
      <c r="G8" s="7">
        <f>+[1]PRUEBAS!G8</f>
        <v>45810</v>
      </c>
      <c r="H8" s="7">
        <f>+[1]PRUEBAS!H8</f>
        <v>45810</v>
      </c>
      <c r="I8" s="7" t="str">
        <f>+[1]PRUEBAS!I8</f>
        <v>NA</v>
      </c>
      <c r="J8" s="7">
        <f>+[1]PRUEBAS!J8</f>
        <v>45814</v>
      </c>
      <c r="K8" s="13" t="str">
        <f>+[1]PRUEBAS!K8</f>
        <v>El resultado se adjuntó al reporte EG-01.</v>
      </c>
      <c r="L8" s="1" t="str">
        <f>+[1]PRUEBAS!L8</f>
        <v>Entregado</v>
      </c>
      <c r="V8" s="1" t="s">
        <v>11</v>
      </c>
      <c r="W8" s="1" t="s">
        <v>12</v>
      </c>
      <c r="X8" s="1" t="s">
        <v>28</v>
      </c>
    </row>
    <row r="9" spans="1:24" ht="30" x14ac:dyDescent="0.25">
      <c r="A9" s="4">
        <v>7</v>
      </c>
      <c r="B9" s="1" t="str">
        <f>+[1]PRUEBAS!B9</f>
        <v>EG-04</v>
      </c>
      <c r="C9" s="9" t="str">
        <f>+[1]PRUEBAS!C9</f>
        <v>Formulación y preparación de As₂O₃</v>
      </c>
      <c r="D9" s="9" t="str">
        <f>+[1]PRUEBAS!D9</f>
        <v>Redacción de fórmula para la preparación de As₂O₃ con NaOH y H2O</v>
      </c>
      <c r="E9" s="2" t="str">
        <f>+[1]PRUEBAS!E9</f>
        <v>NA</v>
      </c>
      <c r="F9" s="1" t="str">
        <f>+[1]PRUEBAS!F9</f>
        <v>Purificacion</v>
      </c>
      <c r="G9" s="7">
        <f>+[1]PRUEBAS!G9</f>
        <v>45806</v>
      </c>
      <c r="H9" s="7">
        <f>+[1]PRUEBAS!H9</f>
        <v>45818</v>
      </c>
      <c r="I9" s="7" t="str">
        <f>+[1]PRUEBAS!I9</f>
        <v>NA</v>
      </c>
      <c r="J9" s="7"/>
      <c r="K9" s="13"/>
      <c r="L9" s="1" t="str">
        <f>+[1]PRUEBAS!L9</f>
        <v>En Proceso</v>
      </c>
      <c r="V9" s="1" t="s">
        <v>21</v>
      </c>
      <c r="W9" s="1" t="s">
        <v>22</v>
      </c>
      <c r="X9" s="1"/>
    </row>
    <row r="10" spans="1:24" ht="42" customHeight="1" x14ac:dyDescent="0.25">
      <c r="A10" s="4">
        <v>8</v>
      </c>
      <c r="B10" s="1" t="str">
        <f>+[1]PRUEBAS!B10</f>
        <v>EG-05</v>
      </c>
      <c r="C10" s="9" t="str">
        <f>+[1]PRUEBAS!C10</f>
        <v>Evaluación de As₂O₃ en purificación caliente (Prueba 2)</v>
      </c>
      <c r="D10" s="9" t="str">
        <f>+[1]PRUEBAS!D10</f>
        <v>Preparar una solución concentrada de As₂O₃ disuelto en medio alcalino utilizando el factor 110 g NaOH / L H2O,  5 mL As2O3 [280 g/L]. Repetir EG-02.</v>
      </c>
      <c r="E10" s="2" t="str">
        <f>+[1]PRUEBAS!E10</f>
        <v>Solucion: [Cu], [Co]</v>
      </c>
      <c r="F10" s="1" t="str">
        <f>+[1]PRUEBAS!F10</f>
        <v>Purificacion</v>
      </c>
      <c r="G10" s="7">
        <f>+[1]PRUEBAS!G10</f>
        <v>45810</v>
      </c>
      <c r="H10" s="7">
        <f>+[1]PRUEBAS!H10</f>
        <v>45811</v>
      </c>
      <c r="I10" s="7">
        <f>+[1]PRUEBAS!I10</f>
        <v>45813</v>
      </c>
      <c r="J10" s="7">
        <f>+[1]PRUEBAS!J10</f>
        <v>45817</v>
      </c>
      <c r="K10" s="13" t="str">
        <f>+[1]PRUEBAS!K10</f>
        <v>El resultado se adjuntó al reporte EG-02.</v>
      </c>
      <c r="L10" s="1" t="str">
        <f>+[1]PRUEBAS!L10</f>
        <v>Entregado</v>
      </c>
    </row>
    <row r="11" spans="1:24" ht="30" customHeight="1" x14ac:dyDescent="0.25">
      <c r="A11" s="4">
        <v>9</v>
      </c>
      <c r="B11" s="1" t="str">
        <f>+[1]PRUEBAS!B11</f>
        <v>LM-03</v>
      </c>
      <c r="C11" s="9" t="str">
        <f>+[1]PRUEBAS!C11</f>
        <v>Curva de solubilidad As2O3 a 60°C</v>
      </c>
      <c r="D11" s="9" t="str">
        <f>+[1]PRUEBAS!D11</f>
        <v>Cuantificar la solubilidad del arsénico a 60°C en medios alcalinos</v>
      </c>
      <c r="E11" s="2" t="str">
        <f>+[1]PRUEBAS!E11</f>
        <v>NA</v>
      </c>
      <c r="F11" s="1" t="str">
        <f>+[1]PRUEBAS!F11</f>
        <v>Metalurgia</v>
      </c>
      <c r="G11" s="7">
        <f>+[1]PRUEBAS!G11</f>
        <v>45817</v>
      </c>
      <c r="H11" s="7">
        <f>+[1]PRUEBAS!H11</f>
        <v>45817</v>
      </c>
      <c r="I11" s="7" t="str">
        <f>+[1]PRUEBAS!I11</f>
        <v>NA</v>
      </c>
      <c r="J11" s="7">
        <f>+[1]PRUEBAS!J11</f>
        <v>45817</v>
      </c>
      <c r="K11" s="13" t="str">
        <f>+[1]PRUEBAS!K11</f>
        <v>Reporte enviado</v>
      </c>
      <c r="L11" s="1" t="str">
        <f>+[1]PRUEBAS!L11</f>
        <v>Entregado</v>
      </c>
    </row>
    <row r="12" spans="1:24" ht="45" x14ac:dyDescent="0.25">
      <c r="A12" s="4">
        <v>10</v>
      </c>
      <c r="B12" s="1" t="str">
        <f>+[1]PRUEBAS!B12</f>
        <v>EG-06</v>
      </c>
      <c r="C12" s="9" t="str">
        <f>+[1]PRUEBAS!C12</f>
        <v>Evaluación de As₂O₃ en purificación caliente (Prueba 3)</v>
      </c>
      <c r="D12" s="9" t="str">
        <f>+[1]PRUEBAS!D12</f>
        <v>Preparar una solución concentrada de As₂O₃ disuelto en medio alcalino utilizando el factor 60 g NaOH / L H2O,  5 mL As2O3 [280 g/L]. Repetir EG-002.
Evaluar reproducibilidad a las mismas condiciones.</v>
      </c>
      <c r="E12" s="2" t="str">
        <f>+[1]PRUEBAS!E12</f>
        <v>Solución: [Cu], [Co]</v>
      </c>
      <c r="F12" s="1" t="str">
        <f>+[1]PRUEBAS!F12</f>
        <v>Purificacion</v>
      </c>
      <c r="G12" s="7">
        <f>+[1]PRUEBAS!G12</f>
        <v>45817</v>
      </c>
      <c r="H12" s="7">
        <f>+[1]PRUEBAS!H12</f>
        <v>45818</v>
      </c>
      <c r="L12" s="1" t="str">
        <f>+[1]PRUEBAS!L12</f>
        <v>Esperando Lab.</v>
      </c>
    </row>
    <row r="13" spans="1:24" x14ac:dyDescent="0.25">
      <c r="A13" s="4">
        <v>11</v>
      </c>
      <c r="B13" s="1" t="str">
        <f>+[1]PRUEBAS!B13</f>
        <v>EG-07</v>
      </c>
      <c r="C13" s="9" t="str">
        <f>+[1]PRUEBAS!C13</f>
        <v>Decobrizado fraccionado</v>
      </c>
      <c r="D13" s="9" t="str">
        <f>+[1]PRUEBAS!D13</f>
        <v>Evaluar la viabilidad de un decobrizado previo a la reacción de decobaltación</v>
      </c>
      <c r="E13" s="2" t="str">
        <f>+[1]PRUEBAS!E13</f>
        <v>Solución: [Cu], [Co]</v>
      </c>
      <c r="F13" s="1" t="str">
        <f>+[1]PRUEBAS!F13</f>
        <v>Purificacion</v>
      </c>
      <c r="G13" s="7">
        <f>+[1]PRUEBAS!G13</f>
        <v>45820</v>
      </c>
      <c r="L13" s="1" t="str">
        <f>+[1]PRUEBAS!L13</f>
        <v>Esperando Lab.</v>
      </c>
    </row>
    <row r="14" spans="1:24" ht="45" x14ac:dyDescent="0.25">
      <c r="A14" s="4">
        <v>12</v>
      </c>
      <c r="B14" s="1" t="str">
        <f>+[1]PRUEBAS!B14</f>
        <v>EG-08</v>
      </c>
      <c r="C14" s="9" t="str">
        <f>+[1]PRUEBAS!C14</f>
        <v>Análisis del avance de redisolución del cobalto a distintos tiempos de residencia</v>
      </c>
      <c r="D14" s="9" t="str">
        <f>+[1]PRUEBAS!D14</f>
        <v>Evaluar las concentraciones de cobalto a distintos tiempos de residencia, simulando diferentes flujos en la purificación caliente</v>
      </c>
      <c r="E14" s="2" t="str">
        <f>+[1]PRUEBAS!E14</f>
        <v>Solución: [Cu], [Co]</v>
      </c>
      <c r="F14" s="1" t="str">
        <f>+[1]PRUEBAS!F14</f>
        <v>Purificacion</v>
      </c>
      <c r="G14" s="7">
        <f>+[1]PRUEBAS!G14</f>
        <v>45820</v>
      </c>
      <c r="L14" s="1" t="str">
        <f>+[1]PRUEBAS!L14</f>
        <v>Esperando Lab.</v>
      </c>
    </row>
    <row r="15" spans="1:24" ht="30" x14ac:dyDescent="0.25">
      <c r="A15" s="4">
        <v>13</v>
      </c>
      <c r="B15" s="1" t="str">
        <f>+[1]PRUEBAS!B15</f>
        <v>EG-09</v>
      </c>
      <c r="C15" s="9" t="str">
        <f>+[1]PRUEBAS!C15</f>
        <v>Elección de los puntos de dosificación de As2O3 y polvo de Zn</v>
      </c>
      <c r="D15" s="9" t="str">
        <f>+[1]PRUEBAS!D15</f>
        <v>Elegir los puntos de dosificación de As2O3 y polvo de Zn en caso de redisolución de Co</v>
      </c>
      <c r="E15" s="2" t="str">
        <f>+[1]PRUEBAS!E15</f>
        <v>Solución: [Cu], [Co]</v>
      </c>
      <c r="F15" s="1" t="str">
        <f>+[1]PRUEBAS!F15</f>
        <v>Purificacion</v>
      </c>
      <c r="G15" s="7">
        <f>+[1]PRUEBAS!G15</f>
        <v>45820</v>
      </c>
      <c r="L15" s="1" t="str">
        <f>+[1]PRUEBAS!L15</f>
        <v>Esperando Lab.</v>
      </c>
    </row>
    <row r="16" spans="1:24" x14ac:dyDescent="0.25">
      <c r="A16" s="4">
        <v>14</v>
      </c>
      <c r="L16" s="1" t="str">
        <f>+[1]PRUEBAS!L16</f>
        <v/>
      </c>
    </row>
    <row r="17" spans="1:12" x14ac:dyDescent="0.25">
      <c r="A17" s="4">
        <v>15</v>
      </c>
      <c r="L17" s="1" t="str">
        <f>+[1]PRUEBAS!L17</f>
        <v/>
      </c>
    </row>
    <row r="18" spans="1:12" x14ac:dyDescent="0.25">
      <c r="A18" s="4">
        <v>16</v>
      </c>
      <c r="L18" s="1" t="str">
        <f>+[1]PRUEBAS!L18</f>
        <v/>
      </c>
    </row>
    <row r="19" spans="1:12" x14ac:dyDescent="0.25">
      <c r="A19" s="4">
        <v>17</v>
      </c>
      <c r="L19" s="1" t="str">
        <f>+[1]PRUEBAS!L19</f>
        <v/>
      </c>
    </row>
    <row r="20" spans="1:12" x14ac:dyDescent="0.25">
      <c r="A20" s="4">
        <v>18</v>
      </c>
      <c r="L20" s="1" t="str">
        <f>+[1]PRUEBAS!L20</f>
        <v/>
      </c>
    </row>
    <row r="21" spans="1:12" x14ac:dyDescent="0.25">
      <c r="A21" s="4">
        <v>19</v>
      </c>
      <c r="L21" s="1" t="str">
        <f>+[1]PRUEBAS!L21</f>
        <v/>
      </c>
    </row>
    <row r="22" spans="1:12" x14ac:dyDescent="0.25">
      <c r="A22" s="4">
        <v>20</v>
      </c>
      <c r="L22" s="1" t="str">
        <f>+[1]PRUEBAS!L22</f>
        <v/>
      </c>
    </row>
    <row r="23" spans="1:12" x14ac:dyDescent="0.25">
      <c r="A23" s="4">
        <v>21</v>
      </c>
      <c r="L23" s="1" t="str">
        <f>+[1]PRUEBAS!L23</f>
        <v/>
      </c>
    </row>
    <row r="24" spans="1:12" x14ac:dyDescent="0.25">
      <c r="A24" s="4">
        <v>22</v>
      </c>
      <c r="L24" s="1" t="str">
        <f>+[1]PRUEBAS!L24</f>
        <v/>
      </c>
    </row>
    <row r="25" spans="1:12" x14ac:dyDescent="0.25">
      <c r="A25" s="4">
        <v>23</v>
      </c>
      <c r="L25" s="1" t="str">
        <f>+[1]PRUEBAS!L25</f>
        <v/>
      </c>
    </row>
    <row r="26" spans="1:12" x14ac:dyDescent="0.25">
      <c r="A26" s="4">
        <v>24</v>
      </c>
      <c r="L26" s="1" t="str">
        <f>+[1]PRUEBAS!L26</f>
        <v/>
      </c>
    </row>
    <row r="27" spans="1:12" x14ac:dyDescent="0.25">
      <c r="A27" s="4">
        <v>25</v>
      </c>
      <c r="L27" s="1" t="str">
        <f>+[1]PRUEBAS!L27</f>
        <v/>
      </c>
    </row>
    <row r="28" spans="1:12" x14ac:dyDescent="0.25">
      <c r="A28" s="4">
        <v>26</v>
      </c>
      <c r="L28" s="1" t="str">
        <f>+[1]PRUEBAS!L28</f>
        <v/>
      </c>
    </row>
    <row r="29" spans="1:12" x14ac:dyDescent="0.25">
      <c r="A29" s="4">
        <v>27</v>
      </c>
      <c r="L29" s="1" t="str">
        <f>+[1]PRUEBAS!L29</f>
        <v/>
      </c>
    </row>
    <row r="30" spans="1:12" x14ac:dyDescent="0.25">
      <c r="A30" s="4">
        <v>28</v>
      </c>
      <c r="L30" s="1" t="str">
        <f>+[1]PRUEBAS!L30</f>
        <v/>
      </c>
    </row>
    <row r="31" spans="1:12" x14ac:dyDescent="0.25">
      <c r="A31" s="4">
        <v>29</v>
      </c>
      <c r="L31" s="1" t="str">
        <f>+[1]PRUEBAS!L31</f>
        <v/>
      </c>
    </row>
    <row r="32" spans="1:12" x14ac:dyDescent="0.25">
      <c r="A32" s="4">
        <v>30</v>
      </c>
      <c r="L32" s="1" t="str">
        <f>+[1]PRUEBAS!L32</f>
        <v/>
      </c>
    </row>
    <row r="33" spans="1:12" x14ac:dyDescent="0.25">
      <c r="A33" s="4">
        <v>31</v>
      </c>
      <c r="L33" s="1" t="str">
        <f>+[1]PRUEBAS!L33</f>
        <v/>
      </c>
    </row>
    <row r="34" spans="1:12" x14ac:dyDescent="0.25">
      <c r="A34" s="4">
        <v>32</v>
      </c>
      <c r="L34" s="1" t="str">
        <f>+[1]PRUEBAS!L34</f>
        <v/>
      </c>
    </row>
    <row r="35" spans="1:12" x14ac:dyDescent="0.25">
      <c r="A35" s="4">
        <v>33</v>
      </c>
      <c r="L35" s="1" t="str">
        <f>+[1]PRUEBAS!L35</f>
        <v/>
      </c>
    </row>
    <row r="36" spans="1:12" x14ac:dyDescent="0.25">
      <c r="A36" s="4">
        <v>34</v>
      </c>
      <c r="L36" s="1" t="str">
        <f>+[1]PRUEBAS!L36</f>
        <v/>
      </c>
    </row>
    <row r="37" spans="1:12" x14ac:dyDescent="0.25">
      <c r="A37" s="4">
        <v>35</v>
      </c>
      <c r="L37" s="1" t="str">
        <f>+[1]PRUEBAS!L37</f>
        <v/>
      </c>
    </row>
    <row r="38" spans="1:12" x14ac:dyDescent="0.25">
      <c r="A38" s="4">
        <v>36</v>
      </c>
      <c r="L38" s="1" t="str">
        <f>+[1]PRUEBAS!L38</f>
        <v/>
      </c>
    </row>
    <row r="39" spans="1:12" x14ac:dyDescent="0.25">
      <c r="A39" s="4">
        <v>37</v>
      </c>
      <c r="L39" s="1" t="str">
        <f>+[1]PRUEBAS!L39</f>
        <v/>
      </c>
    </row>
    <row r="40" spans="1:12" x14ac:dyDescent="0.25">
      <c r="A40" s="4">
        <v>38</v>
      </c>
      <c r="L40" s="1" t="str">
        <f>+[1]PRUEBAS!L40</f>
        <v/>
      </c>
    </row>
    <row r="41" spans="1:12" x14ac:dyDescent="0.25">
      <c r="A41" s="4">
        <v>39</v>
      </c>
      <c r="L41" s="1" t="str">
        <f>+[1]PRUEBAS!L41</f>
        <v/>
      </c>
    </row>
    <row r="42" spans="1:12" x14ac:dyDescent="0.25">
      <c r="A42" s="4">
        <v>40</v>
      </c>
      <c r="L42" s="1" t="str">
        <f>+[1]PRUEBAS!L42</f>
        <v/>
      </c>
    </row>
    <row r="43" spans="1:12" x14ac:dyDescent="0.25">
      <c r="A43" s="4">
        <v>41</v>
      </c>
      <c r="L43" s="1" t="str">
        <f>+[1]PRUEBAS!L43</f>
        <v/>
      </c>
    </row>
    <row r="44" spans="1:12" x14ac:dyDescent="0.25">
      <c r="A44" s="4">
        <v>42</v>
      </c>
      <c r="L44" s="1" t="str">
        <f>+[1]PRUEBAS!L44</f>
        <v/>
      </c>
    </row>
    <row r="45" spans="1:12" x14ac:dyDescent="0.25">
      <c r="A45" s="4">
        <v>43</v>
      </c>
      <c r="L45" s="1" t="str">
        <f>+[1]PRUEBAS!L45</f>
        <v/>
      </c>
    </row>
    <row r="46" spans="1:12" x14ac:dyDescent="0.25">
      <c r="A46" s="4">
        <v>44</v>
      </c>
      <c r="L46" s="1" t="str">
        <f>+[1]PRUEBAS!L46</f>
        <v/>
      </c>
    </row>
    <row r="47" spans="1:12" x14ac:dyDescent="0.25">
      <c r="A47" s="4">
        <v>45</v>
      </c>
      <c r="L47" s="1" t="str">
        <f>+[1]PRUEBAS!L47</f>
        <v/>
      </c>
    </row>
    <row r="48" spans="1:12" x14ac:dyDescent="0.25">
      <c r="A48" s="4">
        <v>46</v>
      </c>
      <c r="L48" s="1" t="str">
        <f>+[1]PRUEBAS!L48</f>
        <v/>
      </c>
    </row>
    <row r="49" spans="1:12" x14ac:dyDescent="0.25">
      <c r="A49" s="4">
        <v>47</v>
      </c>
      <c r="L49" s="1" t="str">
        <f>+[1]PRUEBAS!L49</f>
        <v/>
      </c>
    </row>
    <row r="50" spans="1:12" x14ac:dyDescent="0.25">
      <c r="A50" s="4">
        <v>48</v>
      </c>
      <c r="L50" s="1" t="str">
        <f>+[1]PRUEBAS!L50</f>
        <v/>
      </c>
    </row>
    <row r="51" spans="1:12" x14ac:dyDescent="0.25">
      <c r="A51" s="4">
        <v>49</v>
      </c>
      <c r="L51" s="1" t="str">
        <f>+[1]PRUEBAS!L51</f>
        <v/>
      </c>
    </row>
    <row r="52" spans="1:12" x14ac:dyDescent="0.25">
      <c r="A52" s="4">
        <v>50</v>
      </c>
      <c r="L52" s="1" t="str">
        <f>+[1]PRUEBAS!L52</f>
        <v/>
      </c>
    </row>
    <row r="53" spans="1:12" x14ac:dyDescent="0.25">
      <c r="A53" s="4">
        <v>51</v>
      </c>
      <c r="L53" s="1" t="str">
        <f>+[1]PRUEBAS!L53</f>
        <v/>
      </c>
    </row>
    <row r="54" spans="1:12" x14ac:dyDescent="0.25">
      <c r="A54" s="4">
        <v>52</v>
      </c>
      <c r="L54" s="1" t="str">
        <f>+[1]PRUEBAS!L54</f>
        <v/>
      </c>
    </row>
    <row r="55" spans="1:12" x14ac:dyDescent="0.25">
      <c r="A55" s="4">
        <v>53</v>
      </c>
      <c r="L55" s="1" t="str">
        <f>+[1]PRUEBAS!L55</f>
        <v/>
      </c>
    </row>
    <row r="56" spans="1:12" x14ac:dyDescent="0.25">
      <c r="A56" s="4">
        <v>54</v>
      </c>
      <c r="L56" s="1" t="str">
        <f>+[1]PRUEBAS!L56</f>
        <v/>
      </c>
    </row>
    <row r="57" spans="1:12" x14ac:dyDescent="0.25">
      <c r="A57" s="4">
        <v>55</v>
      </c>
      <c r="L57" s="1" t="str">
        <f>+[1]PRUEBAS!L57</f>
        <v/>
      </c>
    </row>
    <row r="58" spans="1:12" x14ac:dyDescent="0.25">
      <c r="A58" s="4">
        <v>56</v>
      </c>
      <c r="L58" s="1" t="str">
        <f>+[1]PRUEBAS!L58</f>
        <v/>
      </c>
    </row>
    <row r="59" spans="1:12" x14ac:dyDescent="0.25">
      <c r="A59" s="4">
        <v>57</v>
      </c>
      <c r="L59" s="1" t="str">
        <f>+[1]PRUEBAS!L59</f>
        <v/>
      </c>
    </row>
    <row r="60" spans="1:12" x14ac:dyDescent="0.25">
      <c r="A60" s="4">
        <v>58</v>
      </c>
      <c r="L60" s="1" t="str">
        <f>+[1]PRUEBAS!L60</f>
        <v/>
      </c>
    </row>
    <row r="61" spans="1:12" x14ac:dyDescent="0.25">
      <c r="A61" s="4">
        <v>59</v>
      </c>
      <c r="L61" s="1" t="str">
        <f>+[1]PRUEBAS!L61</f>
        <v/>
      </c>
    </row>
    <row r="62" spans="1:12" x14ac:dyDescent="0.25">
      <c r="A62" s="4">
        <v>60</v>
      </c>
      <c r="L62" s="1" t="str">
        <f>+[1]PRUEBAS!L62</f>
        <v/>
      </c>
    </row>
    <row r="63" spans="1:12" x14ac:dyDescent="0.25">
      <c r="A63" s="4">
        <v>61</v>
      </c>
      <c r="L63" s="1" t="str">
        <f>+[1]PRUEBAS!L63</f>
        <v/>
      </c>
    </row>
    <row r="64" spans="1:12" x14ac:dyDescent="0.25">
      <c r="A64" s="4">
        <v>62</v>
      </c>
      <c r="L64" s="1" t="str">
        <f>+[1]PRUEBAS!L64</f>
        <v/>
      </c>
    </row>
    <row r="65" spans="1:12" x14ac:dyDescent="0.25">
      <c r="A65" s="4">
        <v>63</v>
      </c>
      <c r="L65" s="1" t="str">
        <f>+[1]PRUEBAS!L65</f>
        <v/>
      </c>
    </row>
    <row r="66" spans="1:12" x14ac:dyDescent="0.25">
      <c r="A66" s="4">
        <v>64</v>
      </c>
      <c r="L66" s="1" t="str">
        <f>+[1]PRUEBAS!L66</f>
        <v/>
      </c>
    </row>
    <row r="67" spans="1:12" x14ac:dyDescent="0.25">
      <c r="A67" s="4">
        <v>65</v>
      </c>
      <c r="L67" s="1" t="str">
        <f>+[1]PRUEBAS!L67</f>
        <v/>
      </c>
    </row>
    <row r="68" spans="1:12" x14ac:dyDescent="0.25">
      <c r="A68" s="4">
        <v>66</v>
      </c>
      <c r="L68" s="1" t="str">
        <f>+[1]PRUEBAS!L68</f>
        <v/>
      </c>
    </row>
    <row r="69" spans="1:12" x14ac:dyDescent="0.25">
      <c r="A69" s="4">
        <v>67</v>
      </c>
      <c r="L69" s="1" t="str">
        <f>+[1]PRUEBAS!L69</f>
        <v/>
      </c>
    </row>
    <row r="70" spans="1:12" x14ac:dyDescent="0.25">
      <c r="A70" s="4">
        <v>68</v>
      </c>
      <c r="L70" s="1" t="str">
        <f>+[1]PRUEBAS!L70</f>
        <v/>
      </c>
    </row>
    <row r="71" spans="1:12" x14ac:dyDescent="0.25">
      <c r="A71" s="4">
        <v>69</v>
      </c>
      <c r="L71" s="1" t="str">
        <f>+[1]PRUEBAS!L71</f>
        <v/>
      </c>
    </row>
    <row r="72" spans="1:12" x14ac:dyDescent="0.25">
      <c r="A72" s="4">
        <v>70</v>
      </c>
      <c r="L72" s="1" t="str">
        <f>+[1]PRUEBAS!L72</f>
        <v/>
      </c>
    </row>
    <row r="73" spans="1:12" x14ac:dyDescent="0.25">
      <c r="A73" s="4">
        <v>71</v>
      </c>
      <c r="L73" s="1" t="str">
        <f>+[1]PRUEBAS!L73</f>
        <v/>
      </c>
    </row>
    <row r="74" spans="1:12" x14ac:dyDescent="0.25">
      <c r="A74" s="4">
        <v>72</v>
      </c>
      <c r="L74" s="1" t="str">
        <f>+[1]PRUEBAS!L74</f>
        <v/>
      </c>
    </row>
    <row r="75" spans="1:12" x14ac:dyDescent="0.25">
      <c r="A75" s="4">
        <v>73</v>
      </c>
      <c r="L75" s="1" t="str">
        <f>+[1]PRUEBAS!L75</f>
        <v/>
      </c>
    </row>
    <row r="76" spans="1:12" x14ac:dyDescent="0.25">
      <c r="A76" s="4">
        <v>74</v>
      </c>
      <c r="L76" s="1" t="str">
        <f>+[1]PRUEBAS!L76</f>
        <v/>
      </c>
    </row>
    <row r="77" spans="1:12" x14ac:dyDescent="0.25">
      <c r="A77" s="4">
        <v>75</v>
      </c>
      <c r="L77" s="1" t="str">
        <f>+[1]PRUEBAS!L77</f>
        <v/>
      </c>
    </row>
    <row r="78" spans="1:12" x14ac:dyDescent="0.25">
      <c r="A78" s="4">
        <v>76</v>
      </c>
      <c r="L78" s="1" t="str">
        <f>+[1]PRUEBAS!L78</f>
        <v/>
      </c>
    </row>
    <row r="79" spans="1:12" x14ac:dyDescent="0.25">
      <c r="A79" s="4">
        <v>77</v>
      </c>
      <c r="L79" s="1" t="str">
        <f>+[1]PRUEBAS!L79</f>
        <v/>
      </c>
    </row>
    <row r="80" spans="1:12" x14ac:dyDescent="0.25">
      <c r="A80" s="4">
        <v>78</v>
      </c>
      <c r="L80" s="1" t="str">
        <f>+[1]PRUEBAS!L80</f>
        <v/>
      </c>
    </row>
    <row r="81" spans="1:12" x14ac:dyDescent="0.25">
      <c r="A81" s="4">
        <v>79</v>
      </c>
      <c r="L81" s="1" t="str">
        <f>+[1]PRUEBAS!L81</f>
        <v/>
      </c>
    </row>
    <row r="82" spans="1:12" x14ac:dyDescent="0.25">
      <c r="A82" s="4">
        <v>80</v>
      </c>
      <c r="L82" s="1" t="str">
        <f>+[1]PRUEBAS!L82</f>
        <v/>
      </c>
    </row>
    <row r="83" spans="1:12" x14ac:dyDescent="0.25">
      <c r="A83" s="4">
        <v>81</v>
      </c>
      <c r="L83" s="1" t="str">
        <f>+[1]PRUEBAS!L83</f>
        <v/>
      </c>
    </row>
    <row r="84" spans="1:12" x14ac:dyDescent="0.25">
      <c r="A84" s="4">
        <v>82</v>
      </c>
      <c r="L84" s="1" t="str">
        <f>+[1]PRUEBAS!L84</f>
        <v/>
      </c>
    </row>
    <row r="85" spans="1:12" x14ac:dyDescent="0.25">
      <c r="A85" s="4">
        <v>83</v>
      </c>
      <c r="L85" s="1" t="str">
        <f>+[1]PRUEBAS!L85</f>
        <v/>
      </c>
    </row>
    <row r="86" spans="1:12" x14ac:dyDescent="0.25">
      <c r="A86" s="4">
        <v>84</v>
      </c>
      <c r="L86" s="1" t="str">
        <f>+[1]PRUEBAS!L86</f>
        <v/>
      </c>
    </row>
    <row r="87" spans="1:12" x14ac:dyDescent="0.25">
      <c r="A87" s="4">
        <v>85</v>
      </c>
      <c r="L87" s="1" t="str">
        <f>+[1]PRUEBAS!L87</f>
        <v/>
      </c>
    </row>
    <row r="88" spans="1:12" x14ac:dyDescent="0.25">
      <c r="A88" s="4">
        <v>86</v>
      </c>
      <c r="L88" s="1" t="str">
        <f>+[1]PRUEBAS!L88</f>
        <v/>
      </c>
    </row>
    <row r="89" spans="1:12" x14ac:dyDescent="0.25">
      <c r="A89" s="4">
        <v>87</v>
      </c>
      <c r="L89" s="1" t="str">
        <f>+[1]PRUEBAS!L89</f>
        <v/>
      </c>
    </row>
    <row r="90" spans="1:12" x14ac:dyDescent="0.25">
      <c r="A90" s="4">
        <v>88</v>
      </c>
      <c r="L90" s="1" t="str">
        <f>+[1]PRUEBAS!L90</f>
        <v/>
      </c>
    </row>
    <row r="91" spans="1:12" x14ac:dyDescent="0.25">
      <c r="A91" s="4">
        <v>89</v>
      </c>
      <c r="L91" s="1" t="str">
        <f>+[1]PRUEBAS!L91</f>
        <v/>
      </c>
    </row>
    <row r="92" spans="1:12" x14ac:dyDescent="0.25">
      <c r="A92" s="4">
        <v>90</v>
      </c>
      <c r="L92" s="1" t="str">
        <f>+[1]PRUEBAS!L92</f>
        <v/>
      </c>
    </row>
    <row r="93" spans="1:12" x14ac:dyDescent="0.25">
      <c r="A93" s="4">
        <v>91</v>
      </c>
      <c r="L93" s="1" t="str">
        <f>+[1]PRUEBAS!L93</f>
        <v/>
      </c>
    </row>
    <row r="94" spans="1:12" x14ac:dyDescent="0.25">
      <c r="A94" s="4">
        <v>92</v>
      </c>
      <c r="L94" s="1" t="str">
        <f>+[1]PRUEBAS!L94</f>
        <v/>
      </c>
    </row>
    <row r="95" spans="1:12" x14ac:dyDescent="0.25">
      <c r="A95" s="4">
        <v>93</v>
      </c>
      <c r="L95" s="1" t="str">
        <f>+[1]PRUEBAS!L95</f>
        <v/>
      </c>
    </row>
    <row r="96" spans="1:12" x14ac:dyDescent="0.25">
      <c r="A96" s="4">
        <v>94</v>
      </c>
      <c r="L96" s="1" t="str">
        <f>+[1]PRUEBAS!L96</f>
        <v/>
      </c>
    </row>
    <row r="97" spans="1:12" x14ac:dyDescent="0.25">
      <c r="A97" s="4">
        <v>95</v>
      </c>
      <c r="L97" s="1" t="str">
        <f>+[1]PRUEBAS!L97</f>
        <v/>
      </c>
    </row>
    <row r="98" spans="1:12" x14ac:dyDescent="0.25">
      <c r="A98" s="4">
        <v>96</v>
      </c>
      <c r="L98" s="1" t="str">
        <f>+[1]PRUEBAS!L98</f>
        <v/>
      </c>
    </row>
    <row r="99" spans="1:12" x14ac:dyDescent="0.25">
      <c r="A99" s="4">
        <v>97</v>
      </c>
      <c r="L99" s="1" t="str">
        <f>+[1]PRUEBAS!L99</f>
        <v/>
      </c>
    </row>
    <row r="100" spans="1:12" x14ac:dyDescent="0.25">
      <c r="A100" s="4">
        <v>98</v>
      </c>
      <c r="L100" s="1" t="str">
        <f>+[1]PRUEBAS!L100</f>
        <v/>
      </c>
    </row>
    <row r="101" spans="1:12" x14ac:dyDescent="0.25">
      <c r="A101" s="4">
        <v>99</v>
      </c>
      <c r="L101" s="1" t="str">
        <f>+[1]PRUEBAS!L101</f>
        <v/>
      </c>
    </row>
    <row r="102" spans="1:12" x14ac:dyDescent="0.25">
      <c r="A102" s="4">
        <v>100</v>
      </c>
      <c r="L102" s="1" t="str">
        <f>+[1]PRUEBAS!L102</f>
        <v/>
      </c>
    </row>
    <row r="103" spans="1:12" x14ac:dyDescent="0.25">
      <c r="A103" s="4">
        <v>101</v>
      </c>
      <c r="L103" s="1" t="str">
        <f>+[1]PRUEBAS!L103</f>
        <v/>
      </c>
    </row>
    <row r="104" spans="1:12" x14ac:dyDescent="0.25">
      <c r="A104" s="4">
        <v>102</v>
      </c>
      <c r="L104" s="1" t="str">
        <f>+[1]PRUEBAS!L104</f>
        <v/>
      </c>
    </row>
    <row r="105" spans="1:12" x14ac:dyDescent="0.25">
      <c r="A105" s="4">
        <v>103</v>
      </c>
      <c r="L105" s="1" t="str">
        <f>+[1]PRUEBAS!L105</f>
        <v/>
      </c>
    </row>
    <row r="106" spans="1:12" x14ac:dyDescent="0.25">
      <c r="A106" s="4">
        <v>104</v>
      </c>
      <c r="L106" s="1" t="str">
        <f>+[1]PRUEBAS!L106</f>
        <v/>
      </c>
    </row>
    <row r="107" spans="1:12" x14ac:dyDescent="0.25">
      <c r="A107" s="4">
        <v>105</v>
      </c>
      <c r="L107" s="1" t="str">
        <f>+[1]PRUEBAS!L107</f>
        <v/>
      </c>
    </row>
    <row r="108" spans="1:12" x14ac:dyDescent="0.25">
      <c r="A108" s="4">
        <v>106</v>
      </c>
      <c r="L108" s="1" t="str">
        <f>+[1]PRUEBAS!L108</f>
        <v/>
      </c>
    </row>
    <row r="109" spans="1:12" x14ac:dyDescent="0.25">
      <c r="A109" s="4">
        <v>107</v>
      </c>
      <c r="L109" s="1" t="str">
        <f>+[1]PRUEBAS!L109</f>
        <v/>
      </c>
    </row>
    <row r="110" spans="1:12" x14ac:dyDescent="0.25">
      <c r="A110" s="4">
        <v>108</v>
      </c>
      <c r="L110" s="1" t="str">
        <f>+[1]PRUEBAS!L110</f>
        <v/>
      </c>
    </row>
    <row r="111" spans="1:12" x14ac:dyDescent="0.25">
      <c r="A111" s="4">
        <v>109</v>
      </c>
      <c r="L111" s="1" t="str">
        <f>+[1]PRUEBAS!L111</f>
        <v/>
      </c>
    </row>
    <row r="112" spans="1:12" x14ac:dyDescent="0.25">
      <c r="A112" s="4">
        <v>110</v>
      </c>
      <c r="L112" s="1" t="str">
        <f>+[1]PRUEBAS!L112</f>
        <v/>
      </c>
    </row>
    <row r="113" spans="1:12" x14ac:dyDescent="0.25">
      <c r="A113" s="4">
        <v>111</v>
      </c>
      <c r="L113" s="1" t="str">
        <f>+[1]PRUEBAS!L113</f>
        <v/>
      </c>
    </row>
    <row r="114" spans="1:12" x14ac:dyDescent="0.25">
      <c r="A114" s="4">
        <v>112</v>
      </c>
      <c r="L114" s="1" t="str">
        <f>+[1]PRUEBAS!L114</f>
        <v/>
      </c>
    </row>
    <row r="115" spans="1:12" x14ac:dyDescent="0.25">
      <c r="A115" s="4">
        <v>113</v>
      </c>
      <c r="L115" s="1" t="str">
        <f>+[1]PRUEBAS!L115</f>
        <v/>
      </c>
    </row>
    <row r="116" spans="1:12" x14ac:dyDescent="0.25">
      <c r="A116" s="4">
        <v>114</v>
      </c>
      <c r="L116" s="1" t="str">
        <f>+[1]PRUEBAS!L116</f>
        <v/>
      </c>
    </row>
    <row r="117" spans="1:12" x14ac:dyDescent="0.25">
      <c r="A117" s="4">
        <v>115</v>
      </c>
      <c r="L117" s="1" t="str">
        <f>+[1]PRUEBAS!L117</f>
        <v/>
      </c>
    </row>
    <row r="118" spans="1:12" x14ac:dyDescent="0.25">
      <c r="A118" s="4">
        <v>116</v>
      </c>
      <c r="L118" s="1" t="str">
        <f>+[1]PRUEBAS!L118</f>
        <v/>
      </c>
    </row>
    <row r="119" spans="1:12" x14ac:dyDescent="0.25">
      <c r="A119" s="4">
        <v>117</v>
      </c>
      <c r="L119" s="1" t="str">
        <f>+[1]PRUEBAS!L119</f>
        <v/>
      </c>
    </row>
    <row r="120" spans="1:12" x14ac:dyDescent="0.25">
      <c r="A120" s="4">
        <v>118</v>
      </c>
      <c r="L120" s="1" t="str">
        <f>+[1]PRUEBAS!L120</f>
        <v/>
      </c>
    </row>
    <row r="121" spans="1:12" x14ac:dyDescent="0.25">
      <c r="A121" s="4">
        <v>119</v>
      </c>
      <c r="L121" s="1" t="str">
        <f>+[1]PRUEBAS!L121</f>
        <v/>
      </c>
    </row>
    <row r="122" spans="1:12" x14ac:dyDescent="0.25">
      <c r="A122" s="4">
        <v>120</v>
      </c>
      <c r="L122" s="1" t="str">
        <f>+[1]PRUEBAS!L122</f>
        <v/>
      </c>
    </row>
    <row r="123" spans="1:12" x14ac:dyDescent="0.25">
      <c r="A123" s="4">
        <v>121</v>
      </c>
      <c r="L123" s="1" t="str">
        <f>+[1]PRUEBAS!L123</f>
        <v/>
      </c>
    </row>
    <row r="124" spans="1:12" x14ac:dyDescent="0.25">
      <c r="A124" s="4">
        <v>122</v>
      </c>
      <c r="L124" s="1" t="str">
        <f>+[1]PRUEBAS!L124</f>
        <v/>
      </c>
    </row>
    <row r="125" spans="1:12" x14ac:dyDescent="0.25">
      <c r="A125" s="4">
        <v>123</v>
      </c>
      <c r="L125" s="1" t="str">
        <f>+[1]PRUEBAS!L125</f>
        <v/>
      </c>
    </row>
    <row r="126" spans="1:12" x14ac:dyDescent="0.25">
      <c r="A126" s="4">
        <v>124</v>
      </c>
      <c r="L126" s="1" t="str">
        <f>+[1]PRUEBAS!L126</f>
        <v/>
      </c>
    </row>
    <row r="127" spans="1:12" x14ac:dyDescent="0.25">
      <c r="A127" s="4">
        <v>125</v>
      </c>
      <c r="L127" s="1" t="str">
        <f>+[1]PRUEBAS!L127</f>
        <v/>
      </c>
    </row>
    <row r="128" spans="1:12" x14ac:dyDescent="0.25">
      <c r="A128" s="4">
        <v>126</v>
      </c>
      <c r="L128" s="1" t="str">
        <f>+[1]PRUEBAS!L128</f>
        <v/>
      </c>
    </row>
    <row r="129" spans="1:12" x14ac:dyDescent="0.25">
      <c r="A129" s="4">
        <v>127</v>
      </c>
      <c r="L129" s="1" t="str">
        <f>+[1]PRUEBAS!L129</f>
        <v/>
      </c>
    </row>
    <row r="130" spans="1:12" x14ac:dyDescent="0.25">
      <c r="A130" s="4">
        <v>128</v>
      </c>
      <c r="L130" s="1" t="str">
        <f>+[1]PRUEBAS!L130</f>
        <v/>
      </c>
    </row>
    <row r="131" spans="1:12" x14ac:dyDescent="0.25">
      <c r="A131" s="4">
        <v>129</v>
      </c>
      <c r="L131" s="1" t="str">
        <f>+[1]PRUEBAS!L131</f>
        <v/>
      </c>
    </row>
    <row r="132" spans="1:12" x14ac:dyDescent="0.25">
      <c r="A132" s="4">
        <v>130</v>
      </c>
      <c r="L132" s="1" t="str">
        <f>+[1]PRUEBAS!L132</f>
        <v/>
      </c>
    </row>
    <row r="133" spans="1:12" x14ac:dyDescent="0.25">
      <c r="A133" s="4">
        <v>131</v>
      </c>
      <c r="L133" s="1" t="str">
        <f>+[1]PRUEBAS!L133</f>
        <v/>
      </c>
    </row>
    <row r="134" spans="1:12" x14ac:dyDescent="0.25">
      <c r="A134" s="4">
        <v>132</v>
      </c>
      <c r="L134" s="1" t="str">
        <f>+[1]PRUEBAS!L134</f>
        <v/>
      </c>
    </row>
    <row r="135" spans="1:12" x14ac:dyDescent="0.25">
      <c r="A135" s="4">
        <v>133</v>
      </c>
      <c r="L135" s="1" t="str">
        <f>+[1]PRUEBAS!L135</f>
        <v/>
      </c>
    </row>
    <row r="136" spans="1:12" x14ac:dyDescent="0.25">
      <c r="A136" s="4">
        <v>134</v>
      </c>
      <c r="L136" s="1" t="str">
        <f>+[1]PRUEBAS!L136</f>
        <v/>
      </c>
    </row>
    <row r="137" spans="1:12" x14ac:dyDescent="0.25">
      <c r="A137" s="4">
        <v>135</v>
      </c>
      <c r="L137" s="1" t="str">
        <f>+[1]PRUEBAS!L137</f>
        <v/>
      </c>
    </row>
    <row r="138" spans="1:12" x14ac:dyDescent="0.25">
      <c r="A138" s="4">
        <v>136</v>
      </c>
      <c r="L138" s="1" t="str">
        <f>+[1]PRUEBAS!L138</f>
        <v/>
      </c>
    </row>
    <row r="139" spans="1:12" x14ac:dyDescent="0.25">
      <c r="A139" s="4">
        <v>137</v>
      </c>
      <c r="L139" s="1" t="str">
        <f>+[1]PRUEBAS!L139</f>
        <v/>
      </c>
    </row>
    <row r="140" spans="1:12" x14ac:dyDescent="0.25">
      <c r="A140" s="4">
        <v>138</v>
      </c>
      <c r="L140" s="1" t="str">
        <f>+[1]PRUEBAS!L140</f>
        <v/>
      </c>
    </row>
    <row r="141" spans="1:12" x14ac:dyDescent="0.25">
      <c r="A141" s="4">
        <v>139</v>
      </c>
      <c r="L141" s="1" t="str">
        <f>+[1]PRUEBAS!L141</f>
        <v/>
      </c>
    </row>
    <row r="142" spans="1:12" x14ac:dyDescent="0.25">
      <c r="A142" s="4">
        <v>140</v>
      </c>
      <c r="L142" s="1" t="str">
        <f>+[1]PRUEBAS!L142</f>
        <v/>
      </c>
    </row>
    <row r="143" spans="1:12" x14ac:dyDescent="0.25">
      <c r="A143" s="4">
        <v>141</v>
      </c>
      <c r="L143" s="1" t="str">
        <f>+[1]PRUEBAS!L143</f>
        <v/>
      </c>
    </row>
    <row r="144" spans="1:12" x14ac:dyDescent="0.25">
      <c r="A144" s="4">
        <v>142</v>
      </c>
      <c r="L144" s="1" t="str">
        <f>+[1]PRUEBAS!L144</f>
        <v/>
      </c>
    </row>
    <row r="145" spans="1:12" x14ac:dyDescent="0.25">
      <c r="A145" s="4">
        <v>143</v>
      </c>
      <c r="L145" s="1" t="str">
        <f>+[1]PRUEBAS!L145</f>
        <v/>
      </c>
    </row>
    <row r="146" spans="1:12" x14ac:dyDescent="0.25">
      <c r="A146" s="4">
        <v>144</v>
      </c>
      <c r="L146" s="1" t="str">
        <f>+[1]PRUEBAS!L146</f>
        <v/>
      </c>
    </row>
    <row r="147" spans="1:12" x14ac:dyDescent="0.25">
      <c r="A147" s="4">
        <v>145</v>
      </c>
      <c r="L147" s="1" t="str">
        <f>+[1]PRUEBAS!L147</f>
        <v/>
      </c>
    </row>
    <row r="148" spans="1:12" x14ac:dyDescent="0.25">
      <c r="A148" s="4">
        <v>146</v>
      </c>
      <c r="L148" s="1" t="str">
        <f>+[1]PRUEBAS!L148</f>
        <v/>
      </c>
    </row>
    <row r="149" spans="1:12" x14ac:dyDescent="0.25">
      <c r="A149" s="4">
        <v>147</v>
      </c>
      <c r="L149" s="1" t="str">
        <f>+[1]PRUEBAS!L149</f>
        <v/>
      </c>
    </row>
    <row r="150" spans="1:12" x14ac:dyDescent="0.25">
      <c r="A150" s="4">
        <v>148</v>
      </c>
      <c r="L150" s="1" t="str">
        <f>+[1]PRUEBAS!L150</f>
        <v/>
      </c>
    </row>
    <row r="151" spans="1:12" x14ac:dyDescent="0.25">
      <c r="A151" s="4">
        <v>149</v>
      </c>
      <c r="L151" s="1" t="str">
        <f>+[1]PRUEBAS!L151</f>
        <v/>
      </c>
    </row>
    <row r="152" spans="1:12" x14ac:dyDescent="0.25">
      <c r="A152" s="4">
        <v>150</v>
      </c>
      <c r="L152" s="1" t="str">
        <f>+[1]PRUEBAS!L152</f>
        <v/>
      </c>
    </row>
  </sheetData>
  <mergeCells count="1">
    <mergeCell ref="A1:L1"/>
  </mergeCells>
  <conditionalFormatting sqref="L3:L1048576">
    <cfRule type="containsText" dxfId="5" priority="6" operator="containsText" text="Entregado">
      <formula>NOT(ISERROR(SEARCH("Entregado",L3)))</formula>
    </cfRule>
  </conditionalFormatting>
  <conditionalFormatting sqref="L1:L1048576">
    <cfRule type="containsText" dxfId="4" priority="4" operator="containsText" text="En proceso">
      <formula>NOT(ISERROR(SEARCH("En proceso",L1)))</formula>
    </cfRule>
    <cfRule type="containsText" dxfId="3" priority="5" operator="containsText" text="En espera">
      <formula>NOT(ISERROR(SEARCH("En espera",L1)))</formula>
    </cfRule>
  </conditionalFormatting>
  <conditionalFormatting sqref="L3:L152">
    <cfRule type="containsText" dxfId="2" priority="3" operator="containsText" text="En espera">
      <formula>NOT(ISERROR(SEARCH("En espera",L3)))</formula>
    </cfRule>
  </conditionalFormatting>
  <conditionalFormatting sqref="L3:L727">
    <cfRule type="containsText" dxfId="1" priority="2" operator="containsText" text="Esperando Lab.">
      <formula>NOT(ISERROR(SEARCH("Esperando Lab.",L3)))</formula>
    </cfRule>
  </conditionalFormatting>
  <conditionalFormatting sqref="L3:L727">
    <cfRule type="containsText" dxfId="0" priority="1" operator="containsText" text="En espera">
      <formula>NOT(ISERROR(SEARCH("En espera",L3)))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ECE98-D686-4DDB-B129-473B63ED8C17}">
  <dimension ref="A1:K14"/>
  <sheetViews>
    <sheetView tabSelected="1" workbookViewId="0">
      <selection activeCell="J17" sqref="J17"/>
    </sheetView>
  </sheetViews>
  <sheetFormatPr baseColWidth="10" defaultRowHeight="15" x14ac:dyDescent="0.25"/>
  <cols>
    <col min="6" max="9" width="11.42578125" style="14"/>
  </cols>
  <sheetData>
    <row r="1" spans="1:11" x14ac:dyDescent="0.25">
      <c r="A1" t="str">
        <f>+PRUEBAS!B2</f>
        <v>Prueba</v>
      </c>
      <c r="B1" t="str">
        <f>+PRUEBAS!C2</f>
        <v>Título</v>
      </c>
      <c r="C1" t="str">
        <f>+PRUEBAS!D2</f>
        <v>Actividad</v>
      </c>
      <c r="D1" t="str">
        <f>+PRUEBAS!E2</f>
        <v>Análisis de Laboratorio</v>
      </c>
      <c r="E1" t="str">
        <f>+PRUEBAS!F2</f>
        <v>Solicitante</v>
      </c>
      <c r="F1" s="14" t="str">
        <f>+PRUEBAS!G2</f>
        <v>Fecha de Solicitud</v>
      </c>
      <c r="G1" s="14" t="str">
        <f>+PRUEBAS!H2</f>
        <v>Fecha de Inicio</v>
      </c>
      <c r="H1" s="14" t="str">
        <f>+PRUEBAS!I2</f>
        <v>Fecha Laboratorio</v>
      </c>
      <c r="I1" s="14" t="str">
        <f>+PRUEBAS!J2</f>
        <v>Fecha de Finalización</v>
      </c>
      <c r="J1" t="str">
        <f>+PRUEBAS!K2</f>
        <v>Notas</v>
      </c>
      <c r="K1" t="str">
        <f>+PRUEBAS!L2</f>
        <v>Estado</v>
      </c>
    </row>
    <row r="2" spans="1:11" x14ac:dyDescent="0.25">
      <c r="A2" t="str">
        <f>+PRUEBAS!B3</f>
        <v>EG-01</v>
      </c>
      <c r="B2" t="str">
        <f>+PRUEBAS!C3</f>
        <v>Solubilidad de As₂O₃</v>
      </c>
      <c r="C2" t="str">
        <f>+PRUEBAS!D3</f>
        <v>Evaluar la solubilidad de As2O3 en:
1. Agua (pH~7)
2. Agua de proceso (pH~4) + NaOH
3. Calcular factor kg NaOH / L H2O</v>
      </c>
      <c r="D2" t="str">
        <f>+PRUEBAS!E3</f>
        <v>NA</v>
      </c>
      <c r="E2" t="str">
        <f>+PRUEBAS!F3</f>
        <v>Purificacion</v>
      </c>
      <c r="F2" s="14">
        <f>+PRUEBAS!G3</f>
        <v>45806</v>
      </c>
      <c r="G2" s="14">
        <f>+PRUEBAS!H3</f>
        <v>45806</v>
      </c>
      <c r="H2" s="14" t="str">
        <f>+PRUEBAS!I3</f>
        <v>NA</v>
      </c>
      <c r="I2" s="14">
        <f>+PRUEBAS!J3</f>
        <v>45806</v>
      </c>
      <c r="J2" t="str">
        <f>+PRUEBAS!K3</f>
        <v>Reporte enviado</v>
      </c>
      <c r="K2" t="str">
        <f>+PRUEBAS!L3</f>
        <v>Entregado</v>
      </c>
    </row>
    <row r="3" spans="1:11" x14ac:dyDescent="0.25">
      <c r="A3" t="str">
        <f>+PRUEBAS!B4</f>
        <v>LM-01</v>
      </c>
      <c r="B3" t="str">
        <f>+PRUEBAS!C4</f>
        <v>Limpieza de laboratorio</v>
      </c>
      <c r="C3" t="str">
        <f>+PRUEBAS!D4</f>
        <v>Limpieza de laboratorio:
1. Lavado de material.
2. Limpieza de mesas de trabajo
3. Limpieza de cuarto de básculas</v>
      </c>
      <c r="D3" t="str">
        <f>+PRUEBAS!E4</f>
        <v>NA</v>
      </c>
      <c r="E3" t="str">
        <f>+PRUEBAS!F4</f>
        <v>Metalurgia</v>
      </c>
      <c r="F3" s="14">
        <f>+PRUEBAS!G4</f>
        <v>45803</v>
      </c>
      <c r="G3" s="14">
        <f>+PRUEBAS!H4</f>
        <v>45806</v>
      </c>
      <c r="H3" s="14" t="str">
        <f>+PRUEBAS!I4</f>
        <v>NA</v>
      </c>
      <c r="I3" s="14">
        <f>+PRUEBAS!J4</f>
        <v>45806</v>
      </c>
      <c r="J3" t="str">
        <f>+PRUEBAS!K4</f>
        <v>Sin reporte generado</v>
      </c>
      <c r="K3" t="str">
        <f>+PRUEBAS!L4</f>
        <v>Entregado</v>
      </c>
    </row>
    <row r="4" spans="1:11" x14ac:dyDescent="0.25">
      <c r="A4" t="str">
        <f>+PRUEBAS!B5</f>
        <v>EG-02</v>
      </c>
      <c r="B4" t="str">
        <f>+PRUEBAS!C5</f>
        <v>Evaluación de As₂O₃ en purificación caliente</v>
      </c>
      <c r="C4" t="str">
        <f>+PRUEBAS!D5</f>
        <v>Evaluar el comportamiento de la solución de As₂O₃ utilizada en purificación caliente (EG-008) y una solución concentrada de As₂O₃ disuelto en medio alcalino utilizando el factor 164 g NaOH / L H2O</v>
      </c>
      <c r="D4" t="str">
        <f>+PRUEBAS!E5</f>
        <v>Solucion: [Cu], [Co]</v>
      </c>
      <c r="E4" t="str">
        <f>+PRUEBAS!F5</f>
        <v>Purificacion</v>
      </c>
      <c r="F4" s="14">
        <f>+PRUEBAS!G5</f>
        <v>45798</v>
      </c>
      <c r="G4" s="14">
        <f>+PRUEBAS!H5</f>
        <v>45808</v>
      </c>
      <c r="H4" s="14">
        <f>+PRUEBAS!I5</f>
        <v>45808</v>
      </c>
      <c r="I4" s="14">
        <f>+PRUEBAS!J5</f>
        <v>45817</v>
      </c>
      <c r="J4" t="str">
        <f>+PRUEBAS!K5</f>
        <v>Reporte enviado</v>
      </c>
      <c r="K4" t="str">
        <f>+PRUEBAS!L5</f>
        <v>Entregado</v>
      </c>
    </row>
    <row r="5" spans="1:11" x14ac:dyDescent="0.25">
      <c r="A5" t="str">
        <f>+PRUEBAS!B6</f>
        <v>LM-02</v>
      </c>
      <c r="B5" t="str">
        <f>+PRUEBAS!C6</f>
        <v>Curva de calibración Cobalto</v>
      </c>
      <c r="C5" t="str">
        <f>+PRUEBAS!D6</f>
        <v>Realizar una curva de calibración para la determinación de cobalto en un rango de 0 - 2 ppm</v>
      </c>
      <c r="D5" t="str">
        <f>+PRUEBAS!E6</f>
        <v>NA</v>
      </c>
      <c r="E5" t="str">
        <f>+PRUEBAS!F6</f>
        <v>Metalurgia</v>
      </c>
      <c r="F5" s="14">
        <f>+PRUEBAS!G6</f>
        <v>45806</v>
      </c>
      <c r="G5" s="14">
        <f>+PRUEBAS!H6</f>
        <v>45807</v>
      </c>
      <c r="H5" s="14" t="str">
        <f>+PRUEBAS!I6</f>
        <v>NA</v>
      </c>
      <c r="K5" t="str">
        <f>+PRUEBAS!L6</f>
        <v>En Proceso</v>
      </c>
    </row>
    <row r="6" spans="1:11" x14ac:dyDescent="0.25">
      <c r="A6" t="str">
        <f>+PRUEBAS!B7</f>
        <v>EL-01</v>
      </c>
      <c r="B6" t="str">
        <f>+PRUEBAS!C7</f>
        <v>Extracción y eliminación de Cobalto y Cadmio de los cementos de Cobre</v>
      </c>
      <c r="C6" t="str">
        <f>+PRUEBAS!D7</f>
        <v xml:space="preserve"> Evaluar las condiciones óptimas de pH para la extracción de cobalto de los cementos de cobre. </v>
      </c>
      <c r="D6" t="str">
        <f>+PRUEBAS!E7</f>
        <v>Sólido: [Co], [Cu], [Cd], [Zn]                          Sólución: [Co], [Cu], [Cd], [Zn]</v>
      </c>
      <c r="E6" t="str">
        <f>+PRUEBAS!F7</f>
        <v>Purificacion</v>
      </c>
      <c r="F6" s="14">
        <f>+PRUEBAS!G7</f>
        <v>45798</v>
      </c>
      <c r="G6" s="14">
        <f>+PRUEBAS!H7</f>
        <v>45805</v>
      </c>
      <c r="H6" s="14">
        <f>+PRUEBAS!I7</f>
        <v>45806</v>
      </c>
      <c r="I6" s="14">
        <f>+PRUEBAS!J7</f>
        <v>45814</v>
      </c>
      <c r="J6" t="str">
        <f>+PRUEBAS!K7</f>
        <v>Reporte enviado</v>
      </c>
      <c r="K6" t="str">
        <f>+PRUEBAS!L7</f>
        <v>Entregado</v>
      </c>
    </row>
    <row r="7" spans="1:11" x14ac:dyDescent="0.25">
      <c r="A7" t="str">
        <f>+PRUEBAS!B8</f>
        <v>EG-03</v>
      </c>
      <c r="B7" t="str">
        <f>+PRUEBAS!C8</f>
        <v>Optimización de solución de As₂O₃ en NaOH</v>
      </c>
      <c r="C7" t="str">
        <f>+PRUEBAS!D8</f>
        <v>Disminuir el consumo de NaOH para  la disolución del 100% de As₂O₃</v>
      </c>
      <c r="D7" t="str">
        <f>+PRUEBAS!E8</f>
        <v>NA</v>
      </c>
      <c r="E7" t="str">
        <f>+PRUEBAS!F8</f>
        <v>Metalurgia</v>
      </c>
      <c r="F7" s="14">
        <f>+PRUEBAS!G8</f>
        <v>45810</v>
      </c>
      <c r="G7" s="14">
        <f>+PRUEBAS!H8</f>
        <v>45810</v>
      </c>
      <c r="H7" s="14" t="str">
        <f>+PRUEBAS!I8</f>
        <v>NA</v>
      </c>
      <c r="I7" s="14">
        <f>+PRUEBAS!J8</f>
        <v>45814</v>
      </c>
      <c r="J7" t="str">
        <f>+PRUEBAS!K8</f>
        <v>El resultado se adjuntó al reporte EG-01.</v>
      </c>
      <c r="K7" t="str">
        <f>+PRUEBAS!L8</f>
        <v>Entregado</v>
      </c>
    </row>
    <row r="8" spans="1:11" x14ac:dyDescent="0.25">
      <c r="A8" t="str">
        <f>+PRUEBAS!B9</f>
        <v>EG-04</v>
      </c>
      <c r="B8" t="str">
        <f>+PRUEBAS!C9</f>
        <v>Formulación y preparación de As₂O₃</v>
      </c>
      <c r="C8" t="str">
        <f>+PRUEBAS!D9</f>
        <v>Redacción de fórmula para la preparación de As₂O₃ con NaOH y H2O</v>
      </c>
      <c r="D8" t="str">
        <f>+PRUEBAS!E9</f>
        <v>NA</v>
      </c>
      <c r="E8" t="str">
        <f>+PRUEBAS!F9</f>
        <v>Purificacion</v>
      </c>
      <c r="F8" s="14">
        <f>+PRUEBAS!G9</f>
        <v>45806</v>
      </c>
      <c r="G8" s="14">
        <f>+PRUEBAS!H9</f>
        <v>45818</v>
      </c>
      <c r="H8" s="14" t="str">
        <f>+PRUEBAS!I9</f>
        <v>NA</v>
      </c>
      <c r="K8" t="str">
        <f>+PRUEBAS!L9</f>
        <v>En Proceso</v>
      </c>
    </row>
    <row r="9" spans="1:11" x14ac:dyDescent="0.25">
      <c r="A9" t="str">
        <f>+PRUEBAS!B10</f>
        <v>EG-05</v>
      </c>
      <c r="B9" t="str">
        <f>+PRUEBAS!C10</f>
        <v>Evaluación de As₂O₃ en purificación caliente (Prueba 2)</v>
      </c>
      <c r="C9" t="str">
        <f>+PRUEBAS!D10</f>
        <v>Preparar una solución concentrada de As₂O₃ disuelto en medio alcalino utilizando el factor 110 g NaOH / L H2O,  5 mL As2O3 [280 g/L]. Repetir EG-02.</v>
      </c>
      <c r="D9" t="str">
        <f>+PRUEBAS!E10</f>
        <v>Solucion: [Cu], [Co]</v>
      </c>
      <c r="E9" t="str">
        <f>+PRUEBAS!F10</f>
        <v>Purificacion</v>
      </c>
      <c r="F9" s="14">
        <f>+PRUEBAS!G10</f>
        <v>45810</v>
      </c>
      <c r="G9" s="14">
        <f>+PRUEBAS!H10</f>
        <v>45811</v>
      </c>
      <c r="H9" s="14">
        <f>+PRUEBAS!I10</f>
        <v>45813</v>
      </c>
      <c r="I9" s="14">
        <f>+PRUEBAS!J10</f>
        <v>45817</v>
      </c>
      <c r="J9" t="str">
        <f>+PRUEBAS!K10</f>
        <v>El resultado se adjuntó al reporte EG-02.</v>
      </c>
      <c r="K9" t="str">
        <f>+PRUEBAS!L10</f>
        <v>Entregado</v>
      </c>
    </row>
    <row r="10" spans="1:11" x14ac:dyDescent="0.25">
      <c r="A10" t="str">
        <f>+PRUEBAS!B11</f>
        <v>LM-03</v>
      </c>
      <c r="B10" t="str">
        <f>+PRUEBAS!C11</f>
        <v>Curva de solubilidad As2O3 a 60°C</v>
      </c>
      <c r="C10" t="str">
        <f>+PRUEBAS!D11</f>
        <v>Cuantificar la solubilidad del arsénico a 60°C en medios alcalinos</v>
      </c>
      <c r="D10" t="str">
        <f>+PRUEBAS!E11</f>
        <v>NA</v>
      </c>
      <c r="E10" t="str">
        <f>+PRUEBAS!F11</f>
        <v>Metalurgia</v>
      </c>
      <c r="F10" s="14">
        <f>+PRUEBAS!G11</f>
        <v>45817</v>
      </c>
      <c r="G10" s="14">
        <f>+PRUEBAS!H11</f>
        <v>45817</v>
      </c>
      <c r="H10" s="14" t="str">
        <f>+PRUEBAS!I11</f>
        <v>NA</v>
      </c>
      <c r="I10" s="14">
        <f>+PRUEBAS!J11</f>
        <v>45817</v>
      </c>
      <c r="J10" t="str">
        <f>+PRUEBAS!K11</f>
        <v>Reporte enviado</v>
      </c>
      <c r="K10" t="str">
        <f>+PRUEBAS!L11</f>
        <v>Entregado</v>
      </c>
    </row>
    <row r="11" spans="1:11" x14ac:dyDescent="0.25">
      <c r="A11" t="str">
        <f>+PRUEBAS!B12</f>
        <v>EG-06</v>
      </c>
      <c r="B11" t="str">
        <f>+PRUEBAS!C12</f>
        <v>Evaluación de As₂O₃ en purificación caliente (Prueba 3)</v>
      </c>
      <c r="C11" t="str">
        <f>+PRUEBAS!D12</f>
        <v>Preparar una solución concentrada de As₂O₃ disuelto en medio alcalino utilizando el factor 60 g NaOH / L H2O,  5 mL As2O3 [280 g/L]. Repetir EG-002.
Evaluar reproducibilidad a las mismas condiciones.</v>
      </c>
      <c r="D11" t="str">
        <f>+PRUEBAS!E12</f>
        <v>Solución: [Cu], [Co]</v>
      </c>
      <c r="E11" t="str">
        <f>+PRUEBAS!F12</f>
        <v>Purificacion</v>
      </c>
      <c r="F11" s="14">
        <f>+PRUEBAS!G12</f>
        <v>45817</v>
      </c>
      <c r="G11" s="14">
        <f>+PRUEBAS!H12</f>
        <v>45818</v>
      </c>
      <c r="K11" t="str">
        <f>+PRUEBAS!L12</f>
        <v>Esperando Lab.</v>
      </c>
    </row>
    <row r="12" spans="1:11" x14ac:dyDescent="0.25">
      <c r="A12" t="str">
        <f>+PRUEBAS!B13</f>
        <v>EG-07</v>
      </c>
      <c r="B12" t="str">
        <f>+PRUEBAS!C13</f>
        <v>Decobrizado fraccionado</v>
      </c>
      <c r="C12" t="str">
        <f>+PRUEBAS!D13</f>
        <v>Evaluar la viabilidad de un decobrizado previo a la reacción de decobaltación</v>
      </c>
      <c r="D12" t="str">
        <f>+PRUEBAS!E13</f>
        <v>Solución: [Cu], [Co]</v>
      </c>
      <c r="E12" t="str">
        <f>+PRUEBAS!F13</f>
        <v>Purificacion</v>
      </c>
      <c r="F12" s="14">
        <f>+PRUEBAS!G13</f>
        <v>45820</v>
      </c>
      <c r="K12" t="str">
        <f>+PRUEBAS!L13</f>
        <v>Esperando Lab.</v>
      </c>
    </row>
    <row r="13" spans="1:11" x14ac:dyDescent="0.25">
      <c r="A13" t="str">
        <f>+PRUEBAS!B14</f>
        <v>EG-08</v>
      </c>
      <c r="B13" t="str">
        <f>+PRUEBAS!C14</f>
        <v>Análisis del avance de redisolución del cobalto a distintos tiempos de residencia</v>
      </c>
      <c r="C13" t="str">
        <f>+PRUEBAS!D14</f>
        <v>Evaluar las concentraciones de cobalto a distintos tiempos de residencia, simulando diferentes flujos en la purificación caliente</v>
      </c>
      <c r="D13" t="str">
        <f>+PRUEBAS!E14</f>
        <v>Solución: [Cu], [Co]</v>
      </c>
      <c r="E13" t="str">
        <f>+PRUEBAS!F14</f>
        <v>Purificacion</v>
      </c>
      <c r="F13" s="14">
        <f>+PRUEBAS!G14</f>
        <v>45820</v>
      </c>
      <c r="K13" t="str">
        <f>+PRUEBAS!L14</f>
        <v>Esperando Lab.</v>
      </c>
    </row>
    <row r="14" spans="1:11" x14ac:dyDescent="0.25">
      <c r="A14" t="str">
        <f>+PRUEBAS!B15</f>
        <v>EG-09</v>
      </c>
      <c r="B14" t="str">
        <f>+PRUEBAS!C15</f>
        <v>Elección de los puntos de dosificación de As2O3 y polvo de Zn</v>
      </c>
      <c r="C14" t="str">
        <f>+PRUEBAS!D15</f>
        <v>Elegir los puntos de dosificación de As2O3 y polvo de Zn en caso de redisolución de Co</v>
      </c>
      <c r="D14" t="str">
        <f>+PRUEBAS!E15</f>
        <v>Solución: [Cu], [Co]</v>
      </c>
      <c r="E14" t="str">
        <f>+PRUEBAS!F15</f>
        <v>Purificacion</v>
      </c>
      <c r="F14" s="14">
        <f>+PRUEBAS!G15</f>
        <v>45820</v>
      </c>
      <c r="K14" t="str">
        <f>+PRUEBAS!L15</f>
        <v>Esperando Lab.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773471c9-42e1-48a6-bea0-fb25f522e034}" enabled="0" method="" siteId="{773471c9-42e1-48a6-bea0-fb25f522e034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PRUEBAS</vt:lpstr>
      <vt:lpstr>DATA_BASE</vt:lpstr>
      <vt:lpstr>PRUEBAS!Área_de_impresión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Juan Herrera Carreón</dc:creator>
  <cp:lastModifiedBy>José Juan Herrera Carreón</cp:lastModifiedBy>
  <dcterms:created xsi:type="dcterms:W3CDTF">2025-05-29T21:43:05Z</dcterms:created>
  <dcterms:modified xsi:type="dcterms:W3CDTF">2025-06-14T14:22:27Z</dcterms:modified>
</cp:coreProperties>
</file>